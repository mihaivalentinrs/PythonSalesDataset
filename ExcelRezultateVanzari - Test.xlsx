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en\PycharmProjects\SalesSummaryProject\"/>
    </mc:Choice>
  </mc:AlternateContent>
  <xr:revisionPtr revIDLastSave="0" documentId="8_{56D044E9-BC6E-4369-9C61-591E5FC5C6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stionare - Date" sheetId="1" r:id="rId1"/>
    <sheet name="Vizualizar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" i="1"/>
  <c r="E200" i="1"/>
  <c r="E199" i="1"/>
  <c r="E198" i="1"/>
  <c r="E196" i="1"/>
  <c r="E195" i="1"/>
  <c r="E194" i="1"/>
  <c r="E193" i="1"/>
  <c r="E190" i="1"/>
  <c r="E189" i="1"/>
  <c r="E184" i="1"/>
  <c r="E183" i="1"/>
  <c r="E179" i="1"/>
  <c r="E178" i="1"/>
  <c r="E177" i="1"/>
  <c r="E176" i="1"/>
  <c r="E175" i="1"/>
  <c r="E174" i="1"/>
  <c r="E172" i="1"/>
  <c r="E171" i="1"/>
  <c r="E169" i="1"/>
  <c r="E168" i="1"/>
  <c r="E164" i="1"/>
  <c r="E163" i="1"/>
  <c r="E162" i="1"/>
  <c r="E159" i="1"/>
  <c r="E157" i="1"/>
  <c r="E156" i="1"/>
  <c r="E155" i="1"/>
  <c r="E154" i="1"/>
  <c r="E153" i="1"/>
  <c r="E152" i="1"/>
  <c r="E151" i="1"/>
  <c r="E150" i="1"/>
  <c r="E149" i="1"/>
  <c r="E147" i="1"/>
  <c r="E146" i="1"/>
  <c r="E145" i="1"/>
  <c r="E142" i="1"/>
  <c r="E141" i="1"/>
  <c r="E139" i="1"/>
  <c r="E138" i="1"/>
  <c r="E137" i="1"/>
  <c r="E135" i="1"/>
  <c r="E134" i="1"/>
  <c r="E133" i="1"/>
  <c r="E131" i="1"/>
  <c r="E130" i="1"/>
  <c r="E127" i="1"/>
  <c r="E126" i="1"/>
  <c r="E125" i="1"/>
  <c r="E124" i="1"/>
  <c r="E120" i="1"/>
  <c r="E119" i="1"/>
  <c r="E118" i="1"/>
  <c r="E117" i="1"/>
  <c r="E115" i="1"/>
  <c r="E112" i="1"/>
  <c r="E110" i="1"/>
  <c r="E107" i="1"/>
  <c r="E105" i="1"/>
  <c r="E103" i="1"/>
  <c r="E102" i="1"/>
  <c r="E101" i="1"/>
  <c r="E100" i="1"/>
  <c r="E99" i="1"/>
  <c r="E97" i="1"/>
  <c r="E94" i="1"/>
  <c r="E93" i="1"/>
  <c r="E92" i="1"/>
  <c r="E90" i="1"/>
  <c r="E89" i="1"/>
  <c r="E87" i="1"/>
  <c r="E85" i="1"/>
  <c r="E77" i="1"/>
  <c r="E76" i="1"/>
  <c r="E75" i="1"/>
  <c r="E73" i="1"/>
  <c r="E72" i="1"/>
  <c r="E66" i="1"/>
  <c r="E65" i="1"/>
  <c r="E62" i="1"/>
  <c r="E61" i="1"/>
  <c r="E60" i="1"/>
  <c r="E59" i="1"/>
  <c r="E55" i="1"/>
  <c r="E54" i="1"/>
  <c r="E51" i="1"/>
  <c r="E50" i="1"/>
  <c r="E48" i="1"/>
  <c r="E42" i="1"/>
  <c r="E38" i="1"/>
  <c r="E37" i="1"/>
  <c r="E36" i="1"/>
  <c r="E35" i="1"/>
  <c r="E34" i="1"/>
  <c r="E33" i="1"/>
  <c r="E32" i="1"/>
  <c r="E30" i="1"/>
  <c r="E27" i="1"/>
  <c r="E26" i="1"/>
  <c r="E25" i="1"/>
  <c r="E23" i="1"/>
  <c r="E22" i="1"/>
  <c r="E21" i="1"/>
  <c r="E20" i="1"/>
  <c r="E19" i="1"/>
  <c r="E16" i="1"/>
  <c r="E15" i="1"/>
  <c r="E14" i="1"/>
  <c r="E13" i="1"/>
  <c r="E11" i="1"/>
  <c r="E10" i="1"/>
  <c r="E4" i="1"/>
</calcChain>
</file>

<file path=xl/sharedStrings.xml><?xml version="1.0" encoding="utf-8"?>
<sst xmlns="http://schemas.openxmlformats.org/spreadsheetml/2006/main" count="413" uniqueCount="180">
  <si>
    <t>Modele</t>
  </si>
  <si>
    <t>Echipare</t>
  </si>
  <si>
    <t>An de fabricatie</t>
  </si>
  <si>
    <t>Medie de vanzare</t>
  </si>
  <si>
    <t>Abatere standard</t>
  </si>
  <si>
    <t>Coeficient de variatie</t>
  </si>
  <si>
    <t>Observatii(Total vanzari)</t>
  </si>
  <si>
    <t>ARIYA</t>
  </si>
  <si>
    <t>87kWh e4ORCE (4WD) 302CP Evolve std +P1 (jante 20"+piele premium)+P2 (22kW charger)</t>
  </si>
  <si>
    <t>87kWh e4ORCE (4WD) 389CP Evolve Plus (22kWh charger inclus)</t>
  </si>
  <si>
    <t>EV 87KW PACK EVOLVE 04</t>
  </si>
  <si>
    <t>EVOLVE PLUSe4WD</t>
  </si>
  <si>
    <t>EVOLVE e2WD</t>
  </si>
  <si>
    <t>EVOLVE e4WD</t>
  </si>
  <si>
    <t>ARKANA</t>
  </si>
  <si>
    <t>E-TECH ENG</t>
  </si>
  <si>
    <t>ENG E-TECH</t>
  </si>
  <si>
    <t>ESPRIT ALPINE</t>
  </si>
  <si>
    <t>ESPRIT ALPINE E-TECH</t>
  </si>
  <si>
    <t>INTENS E-TECH</t>
  </si>
  <si>
    <t xml:space="preserve">INTENS E-TECH </t>
  </si>
  <si>
    <t>RS LINE</t>
  </si>
  <si>
    <t xml:space="preserve">RS LINE </t>
  </si>
  <si>
    <t>TECHNO</t>
  </si>
  <si>
    <t>TECHNO E-TECH</t>
  </si>
  <si>
    <t>AUSTRAL</t>
  </si>
  <si>
    <t>ICONIC E-TECH</t>
  </si>
  <si>
    <t>ICONIC EA E-TECH</t>
  </si>
  <si>
    <t>ICONIC ESPRIT</t>
  </si>
  <si>
    <t xml:space="preserve">ICONIC ESPRIT ALPINE E-TECH </t>
  </si>
  <si>
    <t>TECHNO E. AL E-TECH</t>
  </si>
  <si>
    <t>TECHNO ESPRIT ALPINE</t>
  </si>
  <si>
    <t>BIGSTER</t>
  </si>
  <si>
    <t>EXPRESSION</t>
  </si>
  <si>
    <t>EXTREME</t>
  </si>
  <si>
    <t>JOURNEY HEV</t>
  </si>
  <si>
    <t>CAPTUR</t>
  </si>
  <si>
    <t>INTENS</t>
  </si>
  <si>
    <t xml:space="preserve">TECHNO </t>
  </si>
  <si>
    <t>TECHNO M. HYB.</t>
  </si>
  <si>
    <t>CLIO5</t>
  </si>
  <si>
    <t>EQUILIBRE</t>
  </si>
  <si>
    <t>ZEN</t>
  </si>
  <si>
    <t>DUSTER</t>
  </si>
  <si>
    <t>COMFORT ECO-G</t>
  </si>
  <si>
    <t xml:space="preserve">COMFORT ECO-G </t>
  </si>
  <si>
    <t>PRESTIGE</t>
  </si>
  <si>
    <t xml:space="preserve">PRESTIGE </t>
  </si>
  <si>
    <t>SL BLUELINE</t>
  </si>
  <si>
    <t xml:space="preserve">SL BLUELINE </t>
  </si>
  <si>
    <t>SL BLUELINE ECO-G</t>
  </si>
  <si>
    <t xml:space="preserve">SL BLUELINE ECO-G </t>
  </si>
  <si>
    <t>DUSTERIIF.2</t>
  </si>
  <si>
    <t>AVANTAJ</t>
  </si>
  <si>
    <t>COMFORT</t>
  </si>
  <si>
    <t xml:space="preserve">EXTREME </t>
  </si>
  <si>
    <t>JOURNEY</t>
  </si>
  <si>
    <t xml:space="preserve">JOURNEY </t>
  </si>
  <si>
    <t xml:space="preserve">JOURNEY  </t>
  </si>
  <si>
    <t>JOURNEY + ECO-G</t>
  </si>
  <si>
    <t>JOURNEY+</t>
  </si>
  <si>
    <t>JOURNEY+ ECO-G</t>
  </si>
  <si>
    <t>PRESTIGE PLUS</t>
  </si>
  <si>
    <t xml:space="preserve">PRESTIGE PLUS </t>
  </si>
  <si>
    <t>PRESTIGE PLUS ECO-G</t>
  </si>
  <si>
    <t>DUSTERIII</t>
  </si>
  <si>
    <t xml:space="preserve">EXPRESSION HEV </t>
  </si>
  <si>
    <t>EXTREME ECO-G</t>
  </si>
  <si>
    <t>EXTREME HEV</t>
  </si>
  <si>
    <t xml:space="preserve">EXTREME HEV </t>
  </si>
  <si>
    <t>EXTREME HEV 140</t>
  </si>
  <si>
    <t>EXTREME TCE 130 4X4</t>
  </si>
  <si>
    <t>JOURNEY ECO-G 100</t>
  </si>
  <si>
    <t xml:space="preserve">JOURNEY HEV </t>
  </si>
  <si>
    <t>JOURNEY HEV 140</t>
  </si>
  <si>
    <t>JOURNEY TCE 130 4X2</t>
  </si>
  <si>
    <t>JOURNEY TCE 130 4X4</t>
  </si>
  <si>
    <t>DUSTERPICK-UP</t>
  </si>
  <si>
    <t>EXPRESS</t>
  </si>
  <si>
    <t>CONFORT</t>
  </si>
  <si>
    <t>JOGGER5L</t>
  </si>
  <si>
    <t>EXPRESSION HYBRID</t>
  </si>
  <si>
    <t>JOGGER7L</t>
  </si>
  <si>
    <t>EXPRESSION ECO-G</t>
  </si>
  <si>
    <t>EXTREME HYBRID</t>
  </si>
  <si>
    <t>EXTREME+</t>
  </si>
  <si>
    <t>EXTREME+ ECO-G</t>
  </si>
  <si>
    <t>JUKE</t>
  </si>
  <si>
    <t>N-DESIGN HEV</t>
  </si>
  <si>
    <t>PACK N-SPORT 01 HEV 2WD</t>
  </si>
  <si>
    <t>KANGOOVAN</t>
  </si>
  <si>
    <t>E-TECH L1 22 KW EV44</t>
  </si>
  <si>
    <t>L1</t>
  </si>
  <si>
    <t>KOLEOS</t>
  </si>
  <si>
    <t>INITIALE PARIS</t>
  </si>
  <si>
    <t>LOGAN</t>
  </si>
  <si>
    <t>EXPRESSION TCE90 MT6</t>
  </si>
  <si>
    <t>LOGANIII</t>
  </si>
  <si>
    <t xml:space="preserve">COMFORT </t>
  </si>
  <si>
    <t>EXPRESSION TCE90 MT5</t>
  </si>
  <si>
    <t>JOURNEY MT6</t>
  </si>
  <si>
    <t>PRESTIGE ECO-G MT6</t>
  </si>
  <si>
    <t>XX ECO-G</t>
  </si>
  <si>
    <t>LOGANSLXX</t>
  </si>
  <si>
    <t>XX ECO-G 100 MT6</t>
  </si>
  <si>
    <t>MASTER</t>
  </si>
  <si>
    <t>FG L3H2 PR</t>
  </si>
  <si>
    <t>FG L3H2 TR</t>
  </si>
  <si>
    <t xml:space="preserve">FURGON L3H2 </t>
  </si>
  <si>
    <t>FURGON L3H2 TR</t>
  </si>
  <si>
    <t>SASIU CAB DBL L3 TR</t>
  </si>
  <si>
    <t>SASIU CAB SPLA L3 TR</t>
  </si>
  <si>
    <t>MASTERE-TECH</t>
  </si>
  <si>
    <t>FURGON L2H2 EV52</t>
  </si>
  <si>
    <t>FURGON L3H2 EV52</t>
  </si>
  <si>
    <t>MEGANE4</t>
  </si>
  <si>
    <t>RS</t>
  </si>
  <si>
    <t>MEGANEE-TECH</t>
  </si>
  <si>
    <t>ICONIC</t>
  </si>
  <si>
    <t xml:space="preserve">ICONIC OPTIMUM CHARGE EV60 </t>
  </si>
  <si>
    <t>MEGANEESTATE</t>
  </si>
  <si>
    <t>MEGANESEDAN</t>
  </si>
  <si>
    <t>NOULCLIO</t>
  </si>
  <si>
    <t>EVOLUTION E-TECH</t>
  </si>
  <si>
    <t>QASHQAI</t>
  </si>
  <si>
    <t>ACENTA ePwr 2WD</t>
  </si>
  <si>
    <t>N-CONNECT PACK 0003</t>
  </si>
  <si>
    <t>N-CONNECTAeP2WD</t>
  </si>
  <si>
    <t>N-DESIGN PACK 0010 ePower 2WD</t>
  </si>
  <si>
    <t>PACK ACENTA 01 CVT 2WD</t>
  </si>
  <si>
    <t>PACK N-CONNECTA 12</t>
  </si>
  <si>
    <t>ePower 2WD PACK N-CONNECTA 15</t>
  </si>
  <si>
    <t>R5</t>
  </si>
  <si>
    <t>ICONIC 5 COMF RANGE</t>
  </si>
  <si>
    <t>TECHNO COMF RANGE</t>
  </si>
  <si>
    <t>RAFALE</t>
  </si>
  <si>
    <t>ATELIER ALPINE E-TECH</t>
  </si>
  <si>
    <t>SANDERO</t>
  </si>
  <si>
    <t>STEPWAY PRESTIGE</t>
  </si>
  <si>
    <t>SANDEROIII</t>
  </si>
  <si>
    <t>CITY</t>
  </si>
  <si>
    <t>ESSENTIAL ECO-G MT5</t>
  </si>
  <si>
    <t>STEPWAY COMFORT</t>
  </si>
  <si>
    <t>STEPWAY COMFORT ECO-G</t>
  </si>
  <si>
    <t>STEPWAY ESENTIAL</t>
  </si>
  <si>
    <t>STEPWAY ESSENTIAL</t>
  </si>
  <si>
    <t>STEPWAY EXPRESSION</t>
  </si>
  <si>
    <t xml:space="preserve">STEPWAY EXPRESSION </t>
  </si>
  <si>
    <t>STEPWAY EXPRESSION ECO-G</t>
  </si>
  <si>
    <t>STEPWAY EXTREME</t>
  </si>
  <si>
    <t>STPW EXPRESSION</t>
  </si>
  <si>
    <t>STPW EXPRESSION CVT</t>
  </si>
  <si>
    <t>STPW EXPRESSION ECO-G</t>
  </si>
  <si>
    <t>STPW EXTREME</t>
  </si>
  <si>
    <t>STPW EXTREME ECO-G</t>
  </si>
  <si>
    <t>STPW EXTREME+</t>
  </si>
  <si>
    <t>STPW EXTREME+ ECO-G</t>
  </si>
  <si>
    <t>SPRING</t>
  </si>
  <si>
    <t>BUSINESS STEP1 DT</t>
  </si>
  <si>
    <t>ESSENTIAL</t>
  </si>
  <si>
    <t>SYMBIOZ</t>
  </si>
  <si>
    <t>TALISMAN</t>
  </si>
  <si>
    <t>TRAFIC</t>
  </si>
  <si>
    <t>CABINA DUBLA L2H1</t>
  </si>
  <si>
    <t>FG L1H1</t>
  </si>
  <si>
    <t>FG L2H1</t>
  </si>
  <si>
    <t>FURGON L2H1</t>
  </si>
  <si>
    <t>ZEN L2 9L</t>
  </si>
  <si>
    <t>TRAFICCOMBI</t>
  </si>
  <si>
    <t>AUTHENTIQUE L2H1 8+1</t>
  </si>
  <si>
    <t>X-TRAIL5L</t>
  </si>
  <si>
    <t>PACK N-TREK 01 ePower 4WD</t>
  </si>
  <si>
    <t>PACK TEKNA 02 EPOWER 4WD</t>
  </si>
  <si>
    <t>X-TRAIL7L</t>
  </si>
  <si>
    <t>X-Trail</t>
  </si>
  <si>
    <t>e4ORCE 5loc 211CP, ACENTA std</t>
  </si>
  <si>
    <t>e4ORCE 5loc 211CP, N-CONNECTA std</t>
  </si>
  <si>
    <t>e4ORCE 5loc 211CP, N-CONNECTA std+P1</t>
  </si>
  <si>
    <t>ZOE</t>
  </si>
  <si>
    <t>EQUILIBRE Z.E. 40 - R110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</si>
</sst>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9" fontId="0" fillId="0" borderId="1" xfId="1" applyFont="1" applyBorder="1"/>
    <xf numFmtId="164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452437</xdr:colOff>
      <xdr:row>12</xdr:row>
      <xdr:rowOff>95250</xdr:rowOff>
    </xdr:from>
    <xdr:to>
      <xdr:col>20</xdr:col>
      <xdr:colOff>439888</xdr:colOff>
      <xdr:row>64</xdr:row>
      <xdr:rowOff>101366</xdr:rowOff>
    </xdr:to>
    <xdr:pic>
      <xdr:nvPicPr>
        <xdr:cNvPr id="2" name="Picture 1" descr="boxplot.vanzari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437" y="2381250"/>
          <a:ext cx="12369951" cy="9912116"/>
        </a:xfrm>
        <a:prstGeom prst="rect">
          <a:avLst/>
        </a:prstGeom>
      </xdr:spPr>
    </xdr:pic>
    <xdr:clientData/>
  </xdr:twoCellAnchor>
  <xdr:twoCellAnchor editAs="oneCell">
    <xdr:from>
      <xdr:col>21</xdr:col>
      <xdr:colOff>547687</xdr:colOff>
      <xdr:row>12</xdr:row>
      <xdr:rowOff>47625</xdr:rowOff>
    </xdr:from>
    <xdr:to>
      <xdr:col>35</xdr:col>
      <xdr:colOff>562944</xdr:colOff>
      <xdr:row>60</xdr:row>
      <xdr:rowOff>139083</xdr:rowOff>
    </xdr:to>
    <xdr:pic>
      <xdr:nvPicPr>
        <xdr:cNvPr id="3" name="Picture 2" descr="barplot.vanzari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49312" y="2333625"/>
          <a:ext cx="8683007" cy="9235458"/>
        </a:xfrm>
        <a:prstGeom prst="rect">
          <a:avLst/>
        </a:prstGeom>
      </xdr:spPr>
    </xdr:pic>
    <xdr:clientData/>
  </xdr:twoCellAnchor>
  <xdr:twoCellAnchor editAs="oneCell">
    <xdr:from>
      <xdr:col>37</xdr:col>
      <xdr:colOff>381000</xdr:colOff>
      <xdr:row>12</xdr:row>
      <xdr:rowOff>71438</xdr:rowOff>
    </xdr:from>
    <xdr:to>
      <xdr:col>51</xdr:col>
      <xdr:colOff>396257</xdr:colOff>
      <xdr:row>60</xdr:row>
      <xdr:rowOff>162896</xdr:rowOff>
    </xdr:to>
    <xdr:pic>
      <xdr:nvPicPr>
        <xdr:cNvPr id="4" name="Picture 3" descr="barplot2.vanzari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288625" y="2357438"/>
          <a:ext cx="8683007" cy="92354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4"/>
  <sheetViews>
    <sheetView tabSelected="1" workbookViewId="0">
      <selection activeCell="K18" sqref="K18"/>
    </sheetView>
  </sheetViews>
  <sheetFormatPr defaultRowHeight="15" x14ac:dyDescent="0.25"/>
  <cols>
    <col min="1" max="1" width="15.140625" bestFit="1" customWidth="1"/>
    <col min="2" max="2" width="82.140625" bestFit="1" customWidth="1"/>
    <col min="3" max="3" width="15.140625" bestFit="1" customWidth="1"/>
    <col min="4" max="4" width="16.85546875" bestFit="1" customWidth="1"/>
    <col min="5" max="5" width="16.42578125" bestFit="1" customWidth="1"/>
    <col min="6" max="6" width="20.28515625" bestFit="1" customWidth="1"/>
    <col min="7" max="7" width="23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>
        <v>2024</v>
      </c>
      <c r="D2" s="3">
        <v>35700</v>
      </c>
      <c r="E2" s="1">
        <v>0</v>
      </c>
      <c r="F2" s="2">
        <f>E2/D2</f>
        <v>0</v>
      </c>
      <c r="G2" s="1">
        <v>11</v>
      </c>
    </row>
    <row r="3" spans="1:7" x14ac:dyDescent="0.25">
      <c r="A3" s="1" t="s">
        <v>7</v>
      </c>
      <c r="B3" s="1" t="s">
        <v>9</v>
      </c>
      <c r="C3" s="1">
        <v>2023</v>
      </c>
      <c r="D3" s="3">
        <v>35700</v>
      </c>
      <c r="E3" s="1">
        <v>0</v>
      </c>
      <c r="F3" s="2">
        <f t="shared" ref="F3:F66" si="0">E3/D3</f>
        <v>0</v>
      </c>
      <c r="G3" s="1">
        <v>8</v>
      </c>
    </row>
    <row r="4" spans="1:7" x14ac:dyDescent="0.25">
      <c r="A4" s="1" t="s">
        <v>7</v>
      </c>
      <c r="B4" s="1" t="s">
        <v>10</v>
      </c>
      <c r="C4" s="1">
        <v>2022</v>
      </c>
      <c r="D4" s="3">
        <v>30000</v>
      </c>
      <c r="E4" s="1" t="e">
        <f>#NUM!</f>
        <v>#NUM!</v>
      </c>
      <c r="F4" s="2" t="e">
        <f t="shared" si="0"/>
        <v>#NUM!</v>
      </c>
      <c r="G4" s="1">
        <v>1</v>
      </c>
    </row>
    <row r="5" spans="1:7" x14ac:dyDescent="0.25">
      <c r="A5" s="1" t="s">
        <v>7</v>
      </c>
      <c r="B5" s="1" t="s">
        <v>11</v>
      </c>
      <c r="C5" s="1">
        <v>2023</v>
      </c>
      <c r="D5" s="3">
        <v>35700</v>
      </c>
      <c r="E5" s="1">
        <v>0</v>
      </c>
      <c r="F5" s="2">
        <f t="shared" si="0"/>
        <v>0</v>
      </c>
      <c r="G5" s="1">
        <v>11</v>
      </c>
    </row>
    <row r="6" spans="1:7" x14ac:dyDescent="0.25">
      <c r="A6" s="1" t="s">
        <v>7</v>
      </c>
      <c r="B6" s="1" t="s">
        <v>12</v>
      </c>
      <c r="C6" s="1">
        <v>2024</v>
      </c>
      <c r="D6" s="3">
        <v>34510</v>
      </c>
      <c r="E6" s="1">
        <v>0</v>
      </c>
      <c r="F6" s="2">
        <f t="shared" si="0"/>
        <v>0</v>
      </c>
      <c r="G6" s="1">
        <v>3</v>
      </c>
    </row>
    <row r="7" spans="1:7" x14ac:dyDescent="0.25">
      <c r="A7" s="1" t="s">
        <v>7</v>
      </c>
      <c r="B7" s="1" t="s">
        <v>13</v>
      </c>
      <c r="C7" s="1">
        <v>2023</v>
      </c>
      <c r="D7" s="3">
        <v>34510</v>
      </c>
      <c r="E7" s="1">
        <v>0</v>
      </c>
      <c r="F7" s="2">
        <f t="shared" si="0"/>
        <v>0</v>
      </c>
      <c r="G7" s="1">
        <v>3</v>
      </c>
    </row>
    <row r="8" spans="1:7" x14ac:dyDescent="0.25">
      <c r="A8" s="1" t="s">
        <v>7</v>
      </c>
      <c r="B8" s="1" t="s">
        <v>13</v>
      </c>
      <c r="C8" s="1">
        <v>2024</v>
      </c>
      <c r="D8" s="3">
        <v>34595</v>
      </c>
      <c r="E8" s="1">
        <v>318.04087787578459</v>
      </c>
      <c r="F8" s="2">
        <f t="shared" si="0"/>
        <v>9.1932613925649539E-3</v>
      </c>
      <c r="G8" s="1">
        <v>14</v>
      </c>
    </row>
    <row r="9" spans="1:7" x14ac:dyDescent="0.25">
      <c r="A9" s="1" t="s">
        <v>14</v>
      </c>
      <c r="B9" s="1" t="s">
        <v>15</v>
      </c>
      <c r="C9" s="1">
        <v>2022</v>
      </c>
      <c r="D9" s="3">
        <v>23230</v>
      </c>
      <c r="E9" s="1">
        <v>975.80735803743562</v>
      </c>
      <c r="F9" s="2">
        <f t="shared" si="0"/>
        <v>4.2006343436824606E-2</v>
      </c>
      <c r="G9" s="1">
        <v>2</v>
      </c>
    </row>
    <row r="10" spans="1:7" x14ac:dyDescent="0.25">
      <c r="A10" s="1" t="s">
        <v>14</v>
      </c>
      <c r="B10" s="1" t="s">
        <v>15</v>
      </c>
      <c r="C10" s="1">
        <v>2023</v>
      </c>
      <c r="D10" s="3">
        <v>24500</v>
      </c>
      <c r="E10" s="1" t="e">
        <f>#NUM!</f>
        <v>#NUM!</v>
      </c>
      <c r="F10" s="2" t="e">
        <f t="shared" si="0"/>
        <v>#NUM!</v>
      </c>
      <c r="G10" s="1">
        <v>1</v>
      </c>
    </row>
    <row r="11" spans="1:7" x14ac:dyDescent="0.25">
      <c r="A11" s="1" t="s">
        <v>14</v>
      </c>
      <c r="B11" s="1" t="s">
        <v>16</v>
      </c>
      <c r="C11" s="1">
        <v>2023</v>
      </c>
      <c r="D11" s="3">
        <v>24500</v>
      </c>
      <c r="E11" s="1" t="e">
        <f>#NUM!</f>
        <v>#NUM!</v>
      </c>
      <c r="F11" s="2" t="e">
        <f t="shared" si="0"/>
        <v>#NUM!</v>
      </c>
      <c r="G11" s="1">
        <v>1</v>
      </c>
    </row>
    <row r="12" spans="1:7" x14ac:dyDescent="0.25">
      <c r="A12" s="1" t="s">
        <v>14</v>
      </c>
      <c r="B12" s="1" t="s">
        <v>17</v>
      </c>
      <c r="C12" s="1">
        <v>2023</v>
      </c>
      <c r="D12" s="3">
        <v>24725</v>
      </c>
      <c r="E12" s="1">
        <v>2510.2290732122442</v>
      </c>
      <c r="F12" s="2">
        <f t="shared" si="0"/>
        <v>0.10152594836045477</v>
      </c>
      <c r="G12" s="1">
        <v>2</v>
      </c>
    </row>
    <row r="13" spans="1:7" x14ac:dyDescent="0.25">
      <c r="A13" s="1" t="s">
        <v>14</v>
      </c>
      <c r="B13" s="1" t="s">
        <v>18</v>
      </c>
      <c r="C13" s="1">
        <v>2023</v>
      </c>
      <c r="D13" s="3">
        <v>24700</v>
      </c>
      <c r="E13" s="1" t="e">
        <f>#NUM!</f>
        <v>#NUM!</v>
      </c>
      <c r="F13" s="2" t="e">
        <f t="shared" si="0"/>
        <v>#NUM!</v>
      </c>
      <c r="G13" s="1">
        <v>1</v>
      </c>
    </row>
    <row r="14" spans="1:7" x14ac:dyDescent="0.25">
      <c r="A14" s="1" t="s">
        <v>14</v>
      </c>
      <c r="B14" s="1" t="s">
        <v>19</v>
      </c>
      <c r="C14" s="1">
        <v>2021</v>
      </c>
      <c r="D14" s="3">
        <v>19950</v>
      </c>
      <c r="E14" s="1" t="e">
        <f>#NUM!</f>
        <v>#NUM!</v>
      </c>
      <c r="F14" s="2" t="e">
        <f t="shared" si="0"/>
        <v>#NUM!</v>
      </c>
      <c r="G14" s="1">
        <v>1</v>
      </c>
    </row>
    <row r="15" spans="1:7" x14ac:dyDescent="0.25">
      <c r="A15" s="1" t="s">
        <v>14</v>
      </c>
      <c r="B15" s="1" t="s">
        <v>20</v>
      </c>
      <c r="C15" s="1">
        <v>2021</v>
      </c>
      <c r="D15" s="3">
        <v>13800</v>
      </c>
      <c r="E15" s="1" t="e">
        <f>#NUM!</f>
        <v>#NUM!</v>
      </c>
      <c r="F15" s="2" t="e">
        <f t="shared" si="0"/>
        <v>#NUM!</v>
      </c>
      <c r="G15" s="1">
        <v>1</v>
      </c>
    </row>
    <row r="16" spans="1:7" x14ac:dyDescent="0.25">
      <c r="A16" s="1" t="s">
        <v>14</v>
      </c>
      <c r="B16" s="1" t="s">
        <v>20</v>
      </c>
      <c r="C16" s="1">
        <v>2022</v>
      </c>
      <c r="D16" s="3">
        <v>22000</v>
      </c>
      <c r="E16" s="1" t="e">
        <f>#NUM!</f>
        <v>#NUM!</v>
      </c>
      <c r="F16" s="2" t="e">
        <f t="shared" si="0"/>
        <v>#NUM!</v>
      </c>
      <c r="G16" s="1">
        <v>1</v>
      </c>
    </row>
    <row r="17" spans="1:7" x14ac:dyDescent="0.25">
      <c r="A17" s="1" t="s">
        <v>14</v>
      </c>
      <c r="B17" s="1" t="s">
        <v>21</v>
      </c>
      <c r="C17" s="1">
        <v>2022</v>
      </c>
      <c r="D17" s="3">
        <v>19934.302500000002</v>
      </c>
      <c r="E17" s="1">
        <v>2707.178958379307</v>
      </c>
      <c r="F17" s="2">
        <f t="shared" si="0"/>
        <v>0.13580505053433933</v>
      </c>
      <c r="G17" s="1">
        <v>4</v>
      </c>
    </row>
    <row r="18" spans="1:7" x14ac:dyDescent="0.25">
      <c r="A18" s="1" t="s">
        <v>14</v>
      </c>
      <c r="B18" s="1" t="s">
        <v>21</v>
      </c>
      <c r="C18" s="1">
        <v>2023</v>
      </c>
      <c r="D18" s="3">
        <v>21091.666666666672</v>
      </c>
      <c r="E18" s="1">
        <v>1498.4019264981389</v>
      </c>
      <c r="F18" s="2">
        <f t="shared" si="0"/>
        <v>7.1042367119627275E-2</v>
      </c>
      <c r="G18" s="1">
        <v>3</v>
      </c>
    </row>
    <row r="19" spans="1:7" x14ac:dyDescent="0.25">
      <c r="A19" s="1" t="s">
        <v>14</v>
      </c>
      <c r="B19" s="1" t="s">
        <v>22</v>
      </c>
      <c r="C19" s="1">
        <v>2021</v>
      </c>
      <c r="D19" s="3">
        <v>20500</v>
      </c>
      <c r="E19" s="1" t="e">
        <f>#NUM!</f>
        <v>#NUM!</v>
      </c>
      <c r="F19" s="2" t="e">
        <f t="shared" si="0"/>
        <v>#NUM!</v>
      </c>
      <c r="G19" s="1">
        <v>1</v>
      </c>
    </row>
    <row r="20" spans="1:7" x14ac:dyDescent="0.25">
      <c r="A20" s="1" t="s">
        <v>14</v>
      </c>
      <c r="B20" s="1" t="s">
        <v>23</v>
      </c>
      <c r="C20" s="1">
        <v>2022</v>
      </c>
      <c r="D20" s="3">
        <v>19350</v>
      </c>
      <c r="E20" s="1" t="e">
        <f>#NUM!</f>
        <v>#NUM!</v>
      </c>
      <c r="F20" s="2" t="e">
        <f t="shared" si="0"/>
        <v>#NUM!</v>
      </c>
      <c r="G20" s="1">
        <v>1</v>
      </c>
    </row>
    <row r="21" spans="1:7" x14ac:dyDescent="0.25">
      <c r="A21" s="1" t="s">
        <v>14</v>
      </c>
      <c r="B21" s="1" t="s">
        <v>23</v>
      </c>
      <c r="C21" s="1">
        <v>2023</v>
      </c>
      <c r="D21" s="3">
        <v>20700</v>
      </c>
      <c r="E21" s="1" t="e">
        <f>#NUM!</f>
        <v>#NUM!</v>
      </c>
      <c r="F21" s="2" t="e">
        <f t="shared" si="0"/>
        <v>#NUM!</v>
      </c>
      <c r="G21" s="1">
        <v>1</v>
      </c>
    </row>
    <row r="22" spans="1:7" x14ac:dyDescent="0.25">
      <c r="A22" s="1" t="s">
        <v>14</v>
      </c>
      <c r="B22" s="1" t="s">
        <v>24</v>
      </c>
      <c r="C22" s="1">
        <v>2024</v>
      </c>
      <c r="D22" s="3">
        <v>22250</v>
      </c>
      <c r="E22" s="1" t="e">
        <f>#NUM!</f>
        <v>#NUM!</v>
      </c>
      <c r="F22" s="2" t="e">
        <f t="shared" si="0"/>
        <v>#NUM!</v>
      </c>
      <c r="G22" s="1">
        <v>1</v>
      </c>
    </row>
    <row r="23" spans="1:7" x14ac:dyDescent="0.25">
      <c r="A23" s="1" t="s">
        <v>25</v>
      </c>
      <c r="B23" s="1" t="s">
        <v>26</v>
      </c>
      <c r="C23" s="1">
        <v>2023</v>
      </c>
      <c r="D23" s="3">
        <v>30500</v>
      </c>
      <c r="E23" s="1" t="e">
        <f>#NUM!</f>
        <v>#NUM!</v>
      </c>
      <c r="F23" s="2" t="e">
        <f t="shared" si="0"/>
        <v>#NUM!</v>
      </c>
      <c r="G23" s="1">
        <v>1</v>
      </c>
    </row>
    <row r="24" spans="1:7" x14ac:dyDescent="0.25">
      <c r="A24" s="1" t="s">
        <v>25</v>
      </c>
      <c r="B24" s="1" t="s">
        <v>27</v>
      </c>
      <c r="C24" s="1">
        <v>2023</v>
      </c>
      <c r="D24" s="3">
        <v>29995</v>
      </c>
      <c r="E24" s="1">
        <v>2114.2492757477771</v>
      </c>
      <c r="F24" s="2">
        <f t="shared" si="0"/>
        <v>7.0486723645533489E-2</v>
      </c>
      <c r="G24" s="1">
        <v>2</v>
      </c>
    </row>
    <row r="25" spans="1:7" x14ac:dyDescent="0.25">
      <c r="A25" s="1" t="s">
        <v>25</v>
      </c>
      <c r="B25" s="1" t="s">
        <v>28</v>
      </c>
      <c r="C25" s="1">
        <v>2023</v>
      </c>
      <c r="D25" s="3">
        <v>30400</v>
      </c>
      <c r="E25" s="1" t="e">
        <f>#NUM!</f>
        <v>#NUM!</v>
      </c>
      <c r="F25" s="2" t="e">
        <f t="shared" si="0"/>
        <v>#NUM!</v>
      </c>
      <c r="G25" s="1">
        <v>1</v>
      </c>
    </row>
    <row r="26" spans="1:7" x14ac:dyDescent="0.25">
      <c r="A26" s="1" t="s">
        <v>25</v>
      </c>
      <c r="B26" s="1" t="s">
        <v>29</v>
      </c>
      <c r="C26" s="1">
        <v>2023</v>
      </c>
      <c r="D26" s="3">
        <v>30200</v>
      </c>
      <c r="E26" s="1" t="e">
        <f>#NUM!</f>
        <v>#NUM!</v>
      </c>
      <c r="F26" s="2" t="e">
        <f t="shared" si="0"/>
        <v>#NUM!</v>
      </c>
      <c r="G26" s="1">
        <v>1</v>
      </c>
    </row>
    <row r="27" spans="1:7" x14ac:dyDescent="0.25">
      <c r="A27" s="1" t="s">
        <v>25</v>
      </c>
      <c r="B27" s="1" t="s">
        <v>30</v>
      </c>
      <c r="C27" s="1">
        <v>2022</v>
      </c>
      <c r="D27" s="3">
        <v>30350</v>
      </c>
      <c r="E27" s="1" t="e">
        <f>#NUM!</f>
        <v>#NUM!</v>
      </c>
      <c r="F27" s="2" t="e">
        <f t="shared" si="0"/>
        <v>#NUM!</v>
      </c>
      <c r="G27" s="1">
        <v>1</v>
      </c>
    </row>
    <row r="28" spans="1:7" x14ac:dyDescent="0.25">
      <c r="A28" s="1" t="s">
        <v>25</v>
      </c>
      <c r="B28" s="1" t="s">
        <v>31</v>
      </c>
      <c r="C28" s="1">
        <v>2022</v>
      </c>
      <c r="D28" s="3">
        <v>24985</v>
      </c>
      <c r="E28" s="1">
        <v>586.89862838483441</v>
      </c>
      <c r="F28" s="2">
        <f t="shared" si="0"/>
        <v>2.3490039158888708E-2</v>
      </c>
      <c r="G28" s="1">
        <v>2</v>
      </c>
    </row>
    <row r="29" spans="1:7" x14ac:dyDescent="0.25">
      <c r="A29" s="1" t="s">
        <v>32</v>
      </c>
      <c r="B29" s="1" t="s">
        <v>33</v>
      </c>
      <c r="C29" s="1">
        <v>2024</v>
      </c>
      <c r="D29" s="3">
        <v>21850</v>
      </c>
      <c r="E29" s="1">
        <v>1909.188309203678</v>
      </c>
      <c r="F29" s="2">
        <f t="shared" si="0"/>
        <v>8.73770393228228E-2</v>
      </c>
      <c r="G29" s="1">
        <v>2</v>
      </c>
    </row>
    <row r="30" spans="1:7" x14ac:dyDescent="0.25">
      <c r="A30" s="1" t="s">
        <v>32</v>
      </c>
      <c r="B30" s="1" t="s">
        <v>34</v>
      </c>
      <c r="C30" s="1">
        <v>2024</v>
      </c>
      <c r="D30" s="3">
        <v>24700</v>
      </c>
      <c r="E30" s="1" t="e">
        <f>#NUM!</f>
        <v>#NUM!</v>
      </c>
      <c r="F30" s="2" t="e">
        <f t="shared" si="0"/>
        <v>#NUM!</v>
      </c>
      <c r="G30" s="1">
        <v>1</v>
      </c>
    </row>
    <row r="31" spans="1:7" x14ac:dyDescent="0.25">
      <c r="A31" s="1" t="s">
        <v>32</v>
      </c>
      <c r="B31" s="1" t="s">
        <v>35</v>
      </c>
      <c r="C31" s="1">
        <v>2024</v>
      </c>
      <c r="D31" s="3">
        <v>24966.666666666672</v>
      </c>
      <c r="E31" s="1">
        <v>404.14518843273783</v>
      </c>
      <c r="F31" s="2">
        <f t="shared" si="0"/>
        <v>1.6187390724942768E-2</v>
      </c>
      <c r="G31" s="1">
        <v>3</v>
      </c>
    </row>
    <row r="32" spans="1:7" x14ac:dyDescent="0.25">
      <c r="A32" s="1" t="s">
        <v>36</v>
      </c>
      <c r="B32" s="1" t="s">
        <v>37</v>
      </c>
      <c r="C32" s="1">
        <v>2022</v>
      </c>
      <c r="D32" s="3">
        <v>15200</v>
      </c>
      <c r="E32" s="1" t="e">
        <f>#NUM!</f>
        <v>#NUM!</v>
      </c>
      <c r="F32" s="2" t="e">
        <f t="shared" si="0"/>
        <v>#NUM!</v>
      </c>
      <c r="G32" s="1">
        <v>1</v>
      </c>
    </row>
    <row r="33" spans="1:7" x14ac:dyDescent="0.25">
      <c r="A33" s="1" t="s">
        <v>36</v>
      </c>
      <c r="B33" s="1" t="s">
        <v>19</v>
      </c>
      <c r="C33" s="1">
        <v>2020</v>
      </c>
      <c r="D33" s="3">
        <v>14390</v>
      </c>
      <c r="E33" s="1" t="e">
        <f>#NUM!</f>
        <v>#NUM!</v>
      </c>
      <c r="F33" s="2" t="e">
        <f t="shared" si="0"/>
        <v>#NUM!</v>
      </c>
      <c r="G33" s="1">
        <v>1</v>
      </c>
    </row>
    <row r="34" spans="1:7" x14ac:dyDescent="0.25">
      <c r="A34" s="1" t="s">
        <v>36</v>
      </c>
      <c r="B34" s="1" t="s">
        <v>23</v>
      </c>
      <c r="C34" s="1">
        <v>2023</v>
      </c>
      <c r="D34" s="3">
        <v>10000</v>
      </c>
      <c r="E34" s="1" t="e">
        <f>#NUM!</f>
        <v>#NUM!</v>
      </c>
      <c r="F34" s="2" t="e">
        <f t="shared" si="0"/>
        <v>#NUM!</v>
      </c>
      <c r="G34" s="1">
        <v>1</v>
      </c>
    </row>
    <row r="35" spans="1:7" x14ac:dyDescent="0.25">
      <c r="A35" s="1" t="s">
        <v>36</v>
      </c>
      <c r="B35" s="1" t="s">
        <v>38</v>
      </c>
      <c r="C35" s="1">
        <v>2022</v>
      </c>
      <c r="D35" s="3">
        <v>16500</v>
      </c>
      <c r="E35" s="1" t="e">
        <f>#NUM!</f>
        <v>#NUM!</v>
      </c>
      <c r="F35" s="2" t="e">
        <f t="shared" si="0"/>
        <v>#NUM!</v>
      </c>
      <c r="G35" s="1">
        <v>1</v>
      </c>
    </row>
    <row r="36" spans="1:7" x14ac:dyDescent="0.25">
      <c r="A36" s="1" t="s">
        <v>36</v>
      </c>
      <c r="B36" s="1" t="s">
        <v>39</v>
      </c>
      <c r="C36" s="1">
        <v>2023</v>
      </c>
      <c r="D36" s="3">
        <v>14900</v>
      </c>
      <c r="E36" s="1" t="e">
        <f>#NUM!</f>
        <v>#NUM!</v>
      </c>
      <c r="F36" s="2" t="e">
        <f t="shared" si="0"/>
        <v>#NUM!</v>
      </c>
      <c r="G36" s="1">
        <v>1</v>
      </c>
    </row>
    <row r="37" spans="1:7" x14ac:dyDescent="0.25">
      <c r="A37" s="1" t="s">
        <v>40</v>
      </c>
      <c r="B37" s="1" t="s">
        <v>41</v>
      </c>
      <c r="C37" s="1">
        <v>2023</v>
      </c>
      <c r="D37" s="3">
        <v>13600</v>
      </c>
      <c r="E37" s="1" t="e">
        <f>#NUM!</f>
        <v>#NUM!</v>
      </c>
      <c r="F37" s="2" t="e">
        <f t="shared" si="0"/>
        <v>#NUM!</v>
      </c>
      <c r="G37" s="1">
        <v>1</v>
      </c>
    </row>
    <row r="38" spans="1:7" x14ac:dyDescent="0.25">
      <c r="A38" s="1" t="s">
        <v>40</v>
      </c>
      <c r="B38" s="1" t="s">
        <v>24</v>
      </c>
      <c r="C38" s="1">
        <v>2023</v>
      </c>
      <c r="D38" s="3">
        <v>16750</v>
      </c>
      <c r="E38" s="1" t="e">
        <f>#NUM!</f>
        <v>#NUM!</v>
      </c>
      <c r="F38" s="2" t="e">
        <f t="shared" si="0"/>
        <v>#NUM!</v>
      </c>
      <c r="G38" s="1">
        <v>1</v>
      </c>
    </row>
    <row r="39" spans="1:7" x14ac:dyDescent="0.25">
      <c r="A39" s="1" t="s">
        <v>40</v>
      </c>
      <c r="B39" s="1" t="s">
        <v>42</v>
      </c>
      <c r="C39" s="1">
        <v>2021</v>
      </c>
      <c r="D39" s="3">
        <v>8650</v>
      </c>
      <c r="E39" s="1">
        <v>494.97474683058329</v>
      </c>
      <c r="F39" s="2">
        <f t="shared" si="0"/>
        <v>5.7222514084460496E-2</v>
      </c>
      <c r="G39" s="1">
        <v>2</v>
      </c>
    </row>
    <row r="40" spans="1:7" x14ac:dyDescent="0.25">
      <c r="A40" s="1" t="s">
        <v>43</v>
      </c>
      <c r="B40" s="1" t="s">
        <v>44</v>
      </c>
      <c r="C40" s="1">
        <v>2021</v>
      </c>
      <c r="D40" s="3">
        <v>11358.33333333333</v>
      </c>
      <c r="E40" s="1">
        <v>458.48482344929749</v>
      </c>
      <c r="F40" s="2">
        <f t="shared" si="0"/>
        <v>4.0365501697663765E-2</v>
      </c>
      <c r="G40" s="1">
        <v>3</v>
      </c>
    </row>
    <row r="41" spans="1:7" x14ac:dyDescent="0.25">
      <c r="A41" s="1" t="s">
        <v>43</v>
      </c>
      <c r="B41" s="1" t="s">
        <v>45</v>
      </c>
      <c r="C41" s="1">
        <v>2021</v>
      </c>
      <c r="D41" s="3">
        <v>10358.33333333333</v>
      </c>
      <c r="E41" s="1">
        <v>1405.42105197458</v>
      </c>
      <c r="F41" s="2">
        <f t="shared" si="0"/>
        <v>0.13568023027912279</v>
      </c>
      <c r="G41" s="1">
        <v>3</v>
      </c>
    </row>
    <row r="42" spans="1:7" x14ac:dyDescent="0.25">
      <c r="A42" s="1" t="s">
        <v>43</v>
      </c>
      <c r="B42" s="1" t="s">
        <v>34</v>
      </c>
      <c r="C42" s="1">
        <v>2023</v>
      </c>
      <c r="D42" s="3">
        <v>21000</v>
      </c>
      <c r="E42" s="1" t="e">
        <f>#NUM!</f>
        <v>#NUM!</v>
      </c>
      <c r="F42" s="2" t="e">
        <f t="shared" si="0"/>
        <v>#NUM!</v>
      </c>
      <c r="G42" s="1">
        <v>1</v>
      </c>
    </row>
    <row r="43" spans="1:7" x14ac:dyDescent="0.25">
      <c r="A43" s="1" t="s">
        <v>43</v>
      </c>
      <c r="B43" s="1" t="s">
        <v>46</v>
      </c>
      <c r="C43" s="1">
        <v>2021</v>
      </c>
      <c r="D43" s="3">
        <v>14252.48253968254</v>
      </c>
      <c r="E43" s="1">
        <v>2365.403043519269</v>
      </c>
      <c r="F43" s="2">
        <f t="shared" si="0"/>
        <v>0.16596428284920783</v>
      </c>
      <c r="G43" s="1">
        <v>63</v>
      </c>
    </row>
    <row r="44" spans="1:7" x14ac:dyDescent="0.25">
      <c r="A44" s="1" t="s">
        <v>43</v>
      </c>
      <c r="B44" s="1" t="s">
        <v>47</v>
      </c>
      <c r="C44" s="1">
        <v>2021</v>
      </c>
      <c r="D44" s="3">
        <v>11850</v>
      </c>
      <c r="E44" s="1">
        <v>2089.2582415776178</v>
      </c>
      <c r="F44" s="2">
        <f t="shared" si="0"/>
        <v>0.17630871236941922</v>
      </c>
      <c r="G44" s="1">
        <v>4</v>
      </c>
    </row>
    <row r="45" spans="1:7" x14ac:dyDescent="0.25">
      <c r="A45" s="1" t="s">
        <v>43</v>
      </c>
      <c r="B45" s="1" t="s">
        <v>48</v>
      </c>
      <c r="C45" s="1">
        <v>2021</v>
      </c>
      <c r="D45" s="3">
        <v>14699.67530333333</v>
      </c>
      <c r="E45" s="1">
        <v>1987.9916521002431</v>
      </c>
      <c r="F45" s="2">
        <f t="shared" si="0"/>
        <v>0.13524051457445743</v>
      </c>
      <c r="G45" s="1">
        <v>90</v>
      </c>
    </row>
    <row r="46" spans="1:7" x14ac:dyDescent="0.25">
      <c r="A46" s="1" t="s">
        <v>43</v>
      </c>
      <c r="B46" s="1" t="s">
        <v>49</v>
      </c>
      <c r="C46" s="1">
        <v>2021</v>
      </c>
      <c r="D46" s="3">
        <v>14902.08333333333</v>
      </c>
      <c r="E46" s="1">
        <v>812.36875396844403</v>
      </c>
      <c r="F46" s="2">
        <f t="shared" si="0"/>
        <v>5.4513770712268032E-2</v>
      </c>
      <c r="G46" s="1">
        <v>12</v>
      </c>
    </row>
    <row r="47" spans="1:7" x14ac:dyDescent="0.25">
      <c r="A47" s="1" t="s">
        <v>43</v>
      </c>
      <c r="B47" s="1" t="s">
        <v>50</v>
      </c>
      <c r="C47" s="1">
        <v>2021</v>
      </c>
      <c r="D47" s="3">
        <v>10059</v>
      </c>
      <c r="E47" s="1">
        <v>1567.0669701352549</v>
      </c>
      <c r="F47" s="2">
        <f t="shared" si="0"/>
        <v>0.15578755046577741</v>
      </c>
      <c r="G47" s="1">
        <v>10</v>
      </c>
    </row>
    <row r="48" spans="1:7" x14ac:dyDescent="0.25">
      <c r="A48" s="1" t="s">
        <v>43</v>
      </c>
      <c r="B48" s="1" t="s">
        <v>51</v>
      </c>
      <c r="C48" s="1">
        <v>2021</v>
      </c>
      <c r="D48" s="3">
        <v>11050</v>
      </c>
      <c r="E48" s="1" t="e">
        <f>#NUM!</f>
        <v>#NUM!</v>
      </c>
      <c r="F48" s="2" t="e">
        <f t="shared" si="0"/>
        <v>#NUM!</v>
      </c>
      <c r="G48" s="1">
        <v>1</v>
      </c>
    </row>
    <row r="49" spans="1:7" x14ac:dyDescent="0.25">
      <c r="A49" s="1" t="s">
        <v>52</v>
      </c>
      <c r="B49" s="1" t="s">
        <v>53</v>
      </c>
      <c r="C49" s="1">
        <v>2022</v>
      </c>
      <c r="D49" s="3">
        <v>16437.5</v>
      </c>
      <c r="E49" s="1">
        <v>1608.667927199396</v>
      </c>
      <c r="F49" s="2">
        <f t="shared" si="0"/>
        <v>9.7865729411370103E-2</v>
      </c>
      <c r="G49" s="1">
        <v>2</v>
      </c>
    </row>
    <row r="50" spans="1:7" x14ac:dyDescent="0.25">
      <c r="A50" s="1" t="s">
        <v>52</v>
      </c>
      <c r="B50" s="1" t="s">
        <v>54</v>
      </c>
      <c r="C50" s="1">
        <v>2022</v>
      </c>
      <c r="D50" s="3">
        <v>16050</v>
      </c>
      <c r="E50" s="1" t="e">
        <f>#NUM!</f>
        <v>#NUM!</v>
      </c>
      <c r="F50" s="2" t="e">
        <f t="shared" si="0"/>
        <v>#NUM!</v>
      </c>
      <c r="G50" s="1">
        <v>1</v>
      </c>
    </row>
    <row r="51" spans="1:7" x14ac:dyDescent="0.25">
      <c r="A51" s="1" t="s">
        <v>52</v>
      </c>
      <c r="B51" s="1" t="s">
        <v>44</v>
      </c>
      <c r="C51" s="1">
        <v>2022</v>
      </c>
      <c r="D51" s="3">
        <v>11875</v>
      </c>
      <c r="E51" s="1" t="e">
        <f>#NUM!</f>
        <v>#NUM!</v>
      </c>
      <c r="F51" s="2" t="e">
        <f t="shared" si="0"/>
        <v>#NUM!</v>
      </c>
      <c r="G51" s="1">
        <v>1</v>
      </c>
    </row>
    <row r="52" spans="1:7" x14ac:dyDescent="0.25">
      <c r="A52" s="1" t="s">
        <v>52</v>
      </c>
      <c r="B52" s="1" t="s">
        <v>34</v>
      </c>
      <c r="C52" s="1">
        <v>2022</v>
      </c>
      <c r="D52" s="3">
        <v>18000</v>
      </c>
      <c r="E52" s="1">
        <v>707.10678118654755</v>
      </c>
      <c r="F52" s="2">
        <f t="shared" si="0"/>
        <v>3.9283710065919311E-2</v>
      </c>
      <c r="G52" s="1">
        <v>2</v>
      </c>
    </row>
    <row r="53" spans="1:7" x14ac:dyDescent="0.25">
      <c r="A53" s="1" t="s">
        <v>52</v>
      </c>
      <c r="B53" s="1" t="s">
        <v>34</v>
      </c>
      <c r="C53" s="1">
        <v>2023</v>
      </c>
      <c r="D53" s="3">
        <v>18631.25</v>
      </c>
      <c r="E53" s="1">
        <v>246.11565709370601</v>
      </c>
      <c r="F53" s="2">
        <f t="shared" si="0"/>
        <v>1.3209830639044939E-2</v>
      </c>
      <c r="G53" s="1">
        <v>4</v>
      </c>
    </row>
    <row r="54" spans="1:7" x14ac:dyDescent="0.25">
      <c r="A54" s="1" t="s">
        <v>52</v>
      </c>
      <c r="B54" s="1" t="s">
        <v>34</v>
      </c>
      <c r="C54" s="1">
        <v>2024</v>
      </c>
      <c r="D54" s="3">
        <v>18000</v>
      </c>
      <c r="E54" s="1" t="e">
        <f>#NUM!</f>
        <v>#NUM!</v>
      </c>
      <c r="F54" s="2" t="e">
        <f t="shared" si="0"/>
        <v>#NUM!</v>
      </c>
      <c r="G54" s="1">
        <v>1</v>
      </c>
    </row>
    <row r="55" spans="1:7" x14ac:dyDescent="0.25">
      <c r="A55" s="1" t="s">
        <v>52</v>
      </c>
      <c r="B55" s="1" t="s">
        <v>55</v>
      </c>
      <c r="C55" s="1">
        <v>2022</v>
      </c>
      <c r="D55" s="3">
        <v>16750</v>
      </c>
      <c r="E55" s="1" t="e">
        <f>#NUM!</f>
        <v>#NUM!</v>
      </c>
      <c r="F55" s="2" t="e">
        <f t="shared" si="0"/>
        <v>#NUM!</v>
      </c>
      <c r="G55" s="1">
        <v>1</v>
      </c>
    </row>
    <row r="56" spans="1:7" x14ac:dyDescent="0.25">
      <c r="A56" s="1" t="s">
        <v>52</v>
      </c>
      <c r="B56" s="1" t="s">
        <v>55</v>
      </c>
      <c r="C56" s="1">
        <v>2023</v>
      </c>
      <c r="D56" s="3">
        <v>18525</v>
      </c>
      <c r="E56" s="1">
        <v>1256.731872755681</v>
      </c>
      <c r="F56" s="2">
        <f t="shared" si="0"/>
        <v>6.7839777206784399E-2</v>
      </c>
      <c r="G56" s="1">
        <v>3</v>
      </c>
    </row>
    <row r="57" spans="1:7" x14ac:dyDescent="0.25">
      <c r="A57" s="1" t="s">
        <v>52</v>
      </c>
      <c r="B57" s="1" t="s">
        <v>56</v>
      </c>
      <c r="C57" s="1">
        <v>2022</v>
      </c>
      <c r="D57" s="3">
        <v>17087.777777777781</v>
      </c>
      <c r="E57" s="1">
        <v>1076.476053818405</v>
      </c>
      <c r="F57" s="2">
        <f t="shared" si="0"/>
        <v>6.2996842996070251E-2</v>
      </c>
      <c r="G57" s="1">
        <v>9</v>
      </c>
    </row>
    <row r="58" spans="1:7" x14ac:dyDescent="0.25">
      <c r="A58" s="1" t="s">
        <v>52</v>
      </c>
      <c r="B58" s="1" t="s">
        <v>56</v>
      </c>
      <c r="C58" s="1">
        <v>2023</v>
      </c>
      <c r="D58" s="3">
        <v>14486.74</v>
      </c>
      <c r="E58" s="1">
        <v>8106.8319267146517</v>
      </c>
      <c r="F58" s="2">
        <f t="shared" si="0"/>
        <v>0.55960360486311289</v>
      </c>
      <c r="G58" s="1">
        <v>5</v>
      </c>
    </row>
    <row r="59" spans="1:7" x14ac:dyDescent="0.25">
      <c r="A59" s="1" t="s">
        <v>52</v>
      </c>
      <c r="B59" s="1" t="s">
        <v>57</v>
      </c>
      <c r="C59" s="1">
        <v>2022</v>
      </c>
      <c r="D59" s="3">
        <v>17250</v>
      </c>
      <c r="E59" s="1" t="e">
        <f>#NUM!</f>
        <v>#NUM!</v>
      </c>
      <c r="F59" s="2" t="e">
        <f t="shared" si="0"/>
        <v>#NUM!</v>
      </c>
      <c r="G59" s="1">
        <v>1</v>
      </c>
    </row>
    <row r="60" spans="1:7" x14ac:dyDescent="0.25">
      <c r="A60" s="1" t="s">
        <v>52</v>
      </c>
      <c r="B60" s="1" t="s">
        <v>57</v>
      </c>
      <c r="C60" s="1">
        <v>2023</v>
      </c>
      <c r="D60" s="3">
        <v>18050</v>
      </c>
      <c r="E60" s="1" t="e">
        <f>#NUM!</f>
        <v>#NUM!</v>
      </c>
      <c r="F60" s="2" t="e">
        <f t="shared" si="0"/>
        <v>#NUM!</v>
      </c>
      <c r="G60" s="1">
        <v>1</v>
      </c>
    </row>
    <row r="61" spans="1:7" x14ac:dyDescent="0.25">
      <c r="A61" s="1" t="s">
        <v>52</v>
      </c>
      <c r="B61" s="1" t="s">
        <v>58</v>
      </c>
      <c r="C61" s="1">
        <v>2022</v>
      </c>
      <c r="D61" s="3">
        <v>16750</v>
      </c>
      <c r="E61" s="1" t="e">
        <f>#NUM!</f>
        <v>#NUM!</v>
      </c>
      <c r="F61" s="2" t="e">
        <f t="shared" si="0"/>
        <v>#NUM!</v>
      </c>
      <c r="G61" s="1">
        <v>1</v>
      </c>
    </row>
    <row r="62" spans="1:7" x14ac:dyDescent="0.25">
      <c r="A62" s="1" t="s">
        <v>52</v>
      </c>
      <c r="B62" s="1" t="s">
        <v>59</v>
      </c>
      <c r="C62" s="1">
        <v>2023</v>
      </c>
      <c r="D62" s="3">
        <v>14000</v>
      </c>
      <c r="E62" s="1" t="e">
        <f>#NUM!</f>
        <v>#NUM!</v>
      </c>
      <c r="F62" s="2" t="e">
        <f t="shared" si="0"/>
        <v>#NUM!</v>
      </c>
      <c r="G62" s="1">
        <v>1</v>
      </c>
    </row>
    <row r="63" spans="1:7" x14ac:dyDescent="0.25">
      <c r="A63" s="1" t="s">
        <v>52</v>
      </c>
      <c r="B63" s="1" t="s">
        <v>60</v>
      </c>
      <c r="C63" s="1">
        <v>2022</v>
      </c>
      <c r="D63" s="3">
        <v>17650.599999999999</v>
      </c>
      <c r="E63" s="1">
        <v>465.91501370958201</v>
      </c>
      <c r="F63" s="2">
        <f t="shared" si="0"/>
        <v>2.6396553868400056E-2</v>
      </c>
      <c r="G63" s="1">
        <v>5</v>
      </c>
    </row>
    <row r="64" spans="1:7" x14ac:dyDescent="0.25">
      <c r="A64" s="1" t="s">
        <v>52</v>
      </c>
      <c r="B64" s="1" t="s">
        <v>60</v>
      </c>
      <c r="C64" s="1">
        <v>2023</v>
      </c>
      <c r="D64" s="3">
        <v>16850</v>
      </c>
      <c r="E64" s="1">
        <v>1331.3526955694349</v>
      </c>
      <c r="F64" s="2">
        <f t="shared" si="0"/>
        <v>7.9012029410648957E-2</v>
      </c>
      <c r="G64" s="1">
        <v>3</v>
      </c>
    </row>
    <row r="65" spans="1:7" x14ac:dyDescent="0.25">
      <c r="A65" s="1" t="s">
        <v>52</v>
      </c>
      <c r="B65" s="1" t="s">
        <v>61</v>
      </c>
      <c r="C65" s="1">
        <v>2023</v>
      </c>
      <c r="D65" s="3">
        <v>14963</v>
      </c>
      <c r="E65" s="1" t="e">
        <f>#NUM!</f>
        <v>#NUM!</v>
      </c>
      <c r="F65" s="2" t="e">
        <f t="shared" si="0"/>
        <v>#NUM!</v>
      </c>
      <c r="G65" s="1">
        <v>1</v>
      </c>
    </row>
    <row r="66" spans="1:7" x14ac:dyDescent="0.25">
      <c r="A66" s="1" t="s">
        <v>52</v>
      </c>
      <c r="B66" s="1" t="s">
        <v>46</v>
      </c>
      <c r="C66" s="1">
        <v>2021</v>
      </c>
      <c r="D66" s="3">
        <v>14450</v>
      </c>
      <c r="E66" s="1" t="e">
        <f>#NUM!</f>
        <v>#NUM!</v>
      </c>
      <c r="F66" s="2" t="e">
        <f t="shared" si="0"/>
        <v>#NUM!</v>
      </c>
      <c r="G66" s="1">
        <v>1</v>
      </c>
    </row>
    <row r="67" spans="1:7" x14ac:dyDescent="0.25">
      <c r="A67" s="1" t="s">
        <v>52</v>
      </c>
      <c r="B67" s="1" t="s">
        <v>46</v>
      </c>
      <c r="C67" s="1">
        <v>2022</v>
      </c>
      <c r="D67" s="3">
        <v>16475.666666666672</v>
      </c>
      <c r="E67" s="1">
        <v>897.58230820354322</v>
      </c>
      <c r="F67" s="2">
        <f t="shared" ref="F67:F130" si="1">E67/D67</f>
        <v>5.4479270937152345E-2</v>
      </c>
      <c r="G67" s="1">
        <v>9</v>
      </c>
    </row>
    <row r="68" spans="1:7" x14ac:dyDescent="0.25">
      <c r="A68" s="1" t="s">
        <v>52</v>
      </c>
      <c r="B68" s="1" t="s">
        <v>47</v>
      </c>
      <c r="C68" s="1">
        <v>2022</v>
      </c>
      <c r="D68" s="3">
        <v>17037.5</v>
      </c>
      <c r="E68" s="1">
        <v>760.13978977553859</v>
      </c>
      <c r="F68" s="2">
        <f t="shared" si="1"/>
        <v>4.4615688321381575E-2</v>
      </c>
      <c r="G68" s="1">
        <v>2</v>
      </c>
    </row>
    <row r="69" spans="1:7" x14ac:dyDescent="0.25">
      <c r="A69" s="1" t="s">
        <v>52</v>
      </c>
      <c r="B69" s="1" t="s">
        <v>62</v>
      </c>
      <c r="C69" s="1">
        <v>2022</v>
      </c>
      <c r="D69" s="3">
        <v>16094.16666666667</v>
      </c>
      <c r="E69" s="1">
        <v>1134.3416860038519</v>
      </c>
      <c r="F69" s="2">
        <f t="shared" si="1"/>
        <v>7.0481542132481853E-2</v>
      </c>
      <c r="G69" s="1">
        <v>12</v>
      </c>
    </row>
    <row r="70" spans="1:7" x14ac:dyDescent="0.25">
      <c r="A70" s="1" t="s">
        <v>52</v>
      </c>
      <c r="B70" s="1" t="s">
        <v>63</v>
      </c>
      <c r="C70" s="1">
        <v>2022</v>
      </c>
      <c r="D70" s="3">
        <v>16562.5</v>
      </c>
      <c r="E70" s="1">
        <v>88.388347648318444</v>
      </c>
      <c r="F70" s="2">
        <f t="shared" si="1"/>
        <v>5.3366549523513026E-3</v>
      </c>
      <c r="G70" s="1">
        <v>2</v>
      </c>
    </row>
    <row r="71" spans="1:7" x14ac:dyDescent="0.25">
      <c r="A71" s="1" t="s">
        <v>52</v>
      </c>
      <c r="B71" s="1" t="s">
        <v>64</v>
      </c>
      <c r="C71" s="1">
        <v>2022</v>
      </c>
      <c r="D71" s="3">
        <v>13512.75</v>
      </c>
      <c r="E71" s="1">
        <v>370.87750673234422</v>
      </c>
      <c r="F71" s="2">
        <f t="shared" si="1"/>
        <v>2.7446486224665164E-2</v>
      </c>
      <c r="G71" s="1">
        <v>2</v>
      </c>
    </row>
    <row r="72" spans="1:7" x14ac:dyDescent="0.25">
      <c r="A72" s="1" t="s">
        <v>65</v>
      </c>
      <c r="B72" s="1" t="s">
        <v>33</v>
      </c>
      <c r="C72" s="1">
        <v>2024</v>
      </c>
      <c r="D72" s="3">
        <v>20000</v>
      </c>
      <c r="E72" s="1" t="e">
        <f>#NUM!</f>
        <v>#NUM!</v>
      </c>
      <c r="F72" s="2" t="e">
        <f t="shared" si="1"/>
        <v>#NUM!</v>
      </c>
      <c r="G72" s="1">
        <v>1</v>
      </c>
    </row>
    <row r="73" spans="1:7" x14ac:dyDescent="0.25">
      <c r="A73" s="1" t="s">
        <v>65</v>
      </c>
      <c r="B73" s="1" t="s">
        <v>66</v>
      </c>
      <c r="C73" s="1">
        <v>2024</v>
      </c>
      <c r="D73" s="3">
        <v>20680</v>
      </c>
      <c r="E73" s="1" t="e">
        <f>#NUM!</f>
        <v>#NUM!</v>
      </c>
      <c r="F73" s="2" t="e">
        <f t="shared" si="1"/>
        <v>#NUM!</v>
      </c>
      <c r="G73" s="1">
        <v>1</v>
      </c>
    </row>
    <row r="74" spans="1:7" x14ac:dyDescent="0.25">
      <c r="A74" s="1" t="s">
        <v>65</v>
      </c>
      <c r="B74" s="1" t="s">
        <v>34</v>
      </c>
      <c r="C74" s="1">
        <v>2024</v>
      </c>
      <c r="D74" s="3">
        <v>22164.076923076918</v>
      </c>
      <c r="E74" s="1">
        <v>2164.494031005031</v>
      </c>
      <c r="F74" s="2">
        <f t="shared" si="1"/>
        <v>9.7657756671625295E-2</v>
      </c>
      <c r="G74" s="1">
        <v>13</v>
      </c>
    </row>
    <row r="75" spans="1:7" x14ac:dyDescent="0.25">
      <c r="A75" s="1" t="s">
        <v>65</v>
      </c>
      <c r="B75" s="1" t="s">
        <v>55</v>
      </c>
      <c r="C75" s="1">
        <v>2024</v>
      </c>
      <c r="D75" s="3">
        <v>19200</v>
      </c>
      <c r="E75" s="1" t="e">
        <f>#NUM!</f>
        <v>#NUM!</v>
      </c>
      <c r="F75" s="2" t="e">
        <f t="shared" si="1"/>
        <v>#NUM!</v>
      </c>
      <c r="G75" s="1">
        <v>1</v>
      </c>
    </row>
    <row r="76" spans="1:7" x14ac:dyDescent="0.25">
      <c r="A76" s="1" t="s">
        <v>65</v>
      </c>
      <c r="B76" s="1" t="s">
        <v>67</v>
      </c>
      <c r="C76" s="1">
        <v>2024</v>
      </c>
      <c r="D76" s="3">
        <v>19000</v>
      </c>
      <c r="E76" s="1" t="e">
        <f>#NUM!</f>
        <v>#NUM!</v>
      </c>
      <c r="F76" s="2" t="e">
        <f t="shared" si="1"/>
        <v>#NUM!</v>
      </c>
      <c r="G76" s="1">
        <v>1</v>
      </c>
    </row>
    <row r="77" spans="1:7" x14ac:dyDescent="0.25">
      <c r="A77" s="1" t="s">
        <v>65</v>
      </c>
      <c r="B77" s="1" t="s">
        <v>68</v>
      </c>
      <c r="C77" s="1">
        <v>2024</v>
      </c>
      <c r="D77" s="3">
        <v>22500</v>
      </c>
      <c r="E77" s="1" t="e">
        <f>#NUM!</f>
        <v>#NUM!</v>
      </c>
      <c r="F77" s="2" t="e">
        <f t="shared" si="1"/>
        <v>#NUM!</v>
      </c>
      <c r="G77" s="1">
        <v>1</v>
      </c>
    </row>
    <row r="78" spans="1:7" x14ac:dyDescent="0.25">
      <c r="A78" s="1" t="s">
        <v>65</v>
      </c>
      <c r="B78" s="1" t="s">
        <v>69</v>
      </c>
      <c r="C78" s="1">
        <v>2024</v>
      </c>
      <c r="D78" s="3">
        <v>22375</v>
      </c>
      <c r="E78" s="1">
        <v>250.00000000000031</v>
      </c>
      <c r="F78" s="2">
        <f t="shared" si="1"/>
        <v>1.1173184357541914E-2</v>
      </c>
      <c r="G78" s="1">
        <v>4</v>
      </c>
    </row>
    <row r="79" spans="1:7" x14ac:dyDescent="0.25">
      <c r="A79" s="1" t="s">
        <v>65</v>
      </c>
      <c r="B79" s="1" t="s">
        <v>70</v>
      </c>
      <c r="C79" s="1">
        <v>2024</v>
      </c>
      <c r="D79" s="3">
        <v>21820</v>
      </c>
      <c r="E79" s="1">
        <v>164.31676725154981</v>
      </c>
      <c r="F79" s="2">
        <f t="shared" si="1"/>
        <v>7.5305576192277639E-3</v>
      </c>
      <c r="G79" s="1">
        <v>5</v>
      </c>
    </row>
    <row r="80" spans="1:7" x14ac:dyDescent="0.25">
      <c r="A80" s="1" t="s">
        <v>65</v>
      </c>
      <c r="B80" s="1" t="s">
        <v>71</v>
      </c>
      <c r="C80" s="1">
        <v>2024</v>
      </c>
      <c r="D80" s="3">
        <v>21700</v>
      </c>
      <c r="E80" s="1">
        <v>0</v>
      </c>
      <c r="F80" s="2">
        <f t="shared" si="1"/>
        <v>0</v>
      </c>
      <c r="G80" s="1">
        <v>2</v>
      </c>
    </row>
    <row r="81" spans="1:7" x14ac:dyDescent="0.25">
      <c r="A81" s="1" t="s">
        <v>65</v>
      </c>
      <c r="B81" s="1" t="s">
        <v>72</v>
      </c>
      <c r="C81" s="1">
        <v>2024</v>
      </c>
      <c r="D81" s="3">
        <v>17000</v>
      </c>
      <c r="E81" s="1">
        <v>0</v>
      </c>
      <c r="F81" s="2">
        <f t="shared" si="1"/>
        <v>0</v>
      </c>
      <c r="G81" s="1">
        <v>2</v>
      </c>
    </row>
    <row r="82" spans="1:7" x14ac:dyDescent="0.25">
      <c r="A82" s="1" t="s">
        <v>65</v>
      </c>
      <c r="B82" s="1" t="s">
        <v>35</v>
      </c>
      <c r="C82" s="1">
        <v>2024</v>
      </c>
      <c r="D82" s="3">
        <v>20975</v>
      </c>
      <c r="E82" s="1">
        <v>35.355339059327378</v>
      </c>
      <c r="F82" s="2">
        <f t="shared" si="1"/>
        <v>1.6855942340561324E-3</v>
      </c>
      <c r="G82" s="1">
        <v>2</v>
      </c>
    </row>
    <row r="83" spans="1:7" x14ac:dyDescent="0.25">
      <c r="A83" s="1" t="s">
        <v>65</v>
      </c>
      <c r="B83" s="1" t="s">
        <v>73</v>
      </c>
      <c r="C83" s="1">
        <v>2024</v>
      </c>
      <c r="D83" s="3">
        <v>22500</v>
      </c>
      <c r="E83" s="1">
        <v>0</v>
      </c>
      <c r="F83" s="2">
        <f t="shared" si="1"/>
        <v>0</v>
      </c>
      <c r="G83" s="1">
        <v>4</v>
      </c>
    </row>
    <row r="84" spans="1:7" x14ac:dyDescent="0.25">
      <c r="A84" s="1" t="s">
        <v>65</v>
      </c>
      <c r="B84" s="1" t="s">
        <v>74</v>
      </c>
      <c r="C84" s="1">
        <v>2024</v>
      </c>
      <c r="D84" s="3">
        <v>21633.333333333328</v>
      </c>
      <c r="E84" s="1">
        <v>115.47005383792541</v>
      </c>
      <c r="F84" s="2">
        <f t="shared" si="1"/>
        <v>5.3375987906591109E-3</v>
      </c>
      <c r="G84" s="1">
        <v>3</v>
      </c>
    </row>
    <row r="85" spans="1:7" x14ac:dyDescent="0.25">
      <c r="A85" s="1" t="s">
        <v>65</v>
      </c>
      <c r="B85" s="1" t="s">
        <v>75</v>
      </c>
      <c r="C85" s="1">
        <v>2024</v>
      </c>
      <c r="D85" s="3">
        <v>18600</v>
      </c>
      <c r="E85" s="1" t="e">
        <f>#NUM!</f>
        <v>#NUM!</v>
      </c>
      <c r="F85" s="2" t="e">
        <f t="shared" si="1"/>
        <v>#NUM!</v>
      </c>
      <c r="G85" s="1">
        <v>1</v>
      </c>
    </row>
    <row r="86" spans="1:7" x14ac:dyDescent="0.25">
      <c r="A86" s="1" t="s">
        <v>65</v>
      </c>
      <c r="B86" s="1" t="s">
        <v>76</v>
      </c>
      <c r="C86" s="1">
        <v>2024</v>
      </c>
      <c r="D86" s="3">
        <v>21700</v>
      </c>
      <c r="E86" s="1">
        <v>0</v>
      </c>
      <c r="F86" s="2">
        <f t="shared" si="1"/>
        <v>0</v>
      </c>
      <c r="G86" s="1">
        <v>2</v>
      </c>
    </row>
    <row r="87" spans="1:7" x14ac:dyDescent="0.25">
      <c r="A87" s="1" t="s">
        <v>77</v>
      </c>
      <c r="B87" s="1" t="s">
        <v>54</v>
      </c>
      <c r="C87" s="1">
        <v>2021</v>
      </c>
      <c r="D87" s="3">
        <v>11000</v>
      </c>
      <c r="E87" s="1" t="e">
        <f>#NUM!</f>
        <v>#NUM!</v>
      </c>
      <c r="F87" s="2" t="e">
        <f t="shared" si="1"/>
        <v>#NUM!</v>
      </c>
      <c r="G87" s="1">
        <v>1</v>
      </c>
    </row>
    <row r="88" spans="1:7" x14ac:dyDescent="0.25">
      <c r="A88" s="1" t="s">
        <v>78</v>
      </c>
      <c r="B88" s="1" t="s">
        <v>79</v>
      </c>
      <c r="C88" s="1">
        <v>2023</v>
      </c>
      <c r="D88" s="3">
        <v>13483.33333333333</v>
      </c>
      <c r="E88" s="1">
        <v>1205.542754668342</v>
      </c>
      <c r="F88" s="2">
        <f t="shared" si="1"/>
        <v>8.9409845834487689E-2</v>
      </c>
      <c r="G88" s="1">
        <v>3</v>
      </c>
    </row>
    <row r="89" spans="1:7" x14ac:dyDescent="0.25">
      <c r="A89" s="1" t="s">
        <v>78</v>
      </c>
      <c r="B89" s="1" t="s">
        <v>79</v>
      </c>
      <c r="C89" s="1">
        <v>2024</v>
      </c>
      <c r="D89" s="3">
        <v>17500</v>
      </c>
      <c r="E89" s="1" t="e">
        <f>#NUM!</f>
        <v>#NUM!</v>
      </c>
      <c r="F89" s="2" t="e">
        <f t="shared" si="1"/>
        <v>#NUM!</v>
      </c>
      <c r="G89" s="1">
        <v>1</v>
      </c>
    </row>
    <row r="90" spans="1:7" x14ac:dyDescent="0.25">
      <c r="A90" s="1" t="s">
        <v>80</v>
      </c>
      <c r="B90" s="1" t="s">
        <v>33</v>
      </c>
      <c r="C90" s="1">
        <v>2024</v>
      </c>
      <c r="D90" s="3">
        <v>15500</v>
      </c>
      <c r="E90" s="1" t="e">
        <f>#NUM!</f>
        <v>#NUM!</v>
      </c>
      <c r="F90" s="2" t="e">
        <f t="shared" si="1"/>
        <v>#NUM!</v>
      </c>
      <c r="G90" s="1">
        <v>1</v>
      </c>
    </row>
    <row r="91" spans="1:7" x14ac:dyDescent="0.25">
      <c r="A91" s="1" t="s">
        <v>80</v>
      </c>
      <c r="B91" s="1" t="s">
        <v>81</v>
      </c>
      <c r="C91" s="1">
        <v>2024</v>
      </c>
      <c r="D91" s="3">
        <v>19300</v>
      </c>
      <c r="E91" s="1">
        <v>0</v>
      </c>
      <c r="F91" s="2">
        <f t="shared" si="1"/>
        <v>0</v>
      </c>
      <c r="G91" s="1">
        <v>3</v>
      </c>
    </row>
    <row r="92" spans="1:7" x14ac:dyDescent="0.25">
      <c r="A92" s="1" t="s">
        <v>80</v>
      </c>
      <c r="B92" s="1" t="s">
        <v>67</v>
      </c>
      <c r="C92" s="1">
        <v>2024</v>
      </c>
      <c r="D92" s="3">
        <v>15675</v>
      </c>
      <c r="E92" s="1" t="e">
        <f>#NUM!</f>
        <v>#NUM!</v>
      </c>
      <c r="F92" s="2" t="e">
        <f t="shared" si="1"/>
        <v>#NUM!</v>
      </c>
      <c r="G92" s="1">
        <v>1</v>
      </c>
    </row>
    <row r="93" spans="1:7" x14ac:dyDescent="0.25">
      <c r="A93" s="1" t="s">
        <v>82</v>
      </c>
      <c r="B93" s="1" t="s">
        <v>33</v>
      </c>
      <c r="C93" s="1">
        <v>2024</v>
      </c>
      <c r="D93" s="3">
        <v>17100</v>
      </c>
      <c r="E93" s="1" t="e">
        <f>#NUM!</f>
        <v>#NUM!</v>
      </c>
      <c r="F93" s="2" t="e">
        <f t="shared" si="1"/>
        <v>#NUM!</v>
      </c>
      <c r="G93" s="1">
        <v>1</v>
      </c>
    </row>
    <row r="94" spans="1:7" x14ac:dyDescent="0.25">
      <c r="A94" s="1" t="s">
        <v>82</v>
      </c>
      <c r="B94" s="1" t="s">
        <v>83</v>
      </c>
      <c r="C94" s="1">
        <v>2024</v>
      </c>
      <c r="D94" s="3">
        <v>15670</v>
      </c>
      <c r="E94" s="1" t="e">
        <f>#NUM!</f>
        <v>#NUM!</v>
      </c>
      <c r="F94" s="2" t="e">
        <f t="shared" si="1"/>
        <v>#NUM!</v>
      </c>
      <c r="G94" s="1">
        <v>1</v>
      </c>
    </row>
    <row r="95" spans="1:7" x14ac:dyDescent="0.25">
      <c r="A95" s="1" t="s">
        <v>82</v>
      </c>
      <c r="B95" s="1" t="s">
        <v>81</v>
      </c>
      <c r="C95" s="1">
        <v>2024</v>
      </c>
      <c r="D95" s="3">
        <v>19925</v>
      </c>
      <c r="E95" s="1">
        <v>459.61940777125591</v>
      </c>
      <c r="F95" s="2">
        <f t="shared" si="1"/>
        <v>2.3067473413864788E-2</v>
      </c>
      <c r="G95" s="1">
        <v>2</v>
      </c>
    </row>
    <row r="96" spans="1:7" x14ac:dyDescent="0.25">
      <c r="A96" s="1" t="s">
        <v>82</v>
      </c>
      <c r="B96" s="1" t="s">
        <v>84</v>
      </c>
      <c r="C96" s="1">
        <v>2023</v>
      </c>
      <c r="D96" s="3">
        <v>18712.5</v>
      </c>
      <c r="E96" s="1">
        <v>265.1650429449553</v>
      </c>
      <c r="F96" s="2">
        <f t="shared" si="1"/>
        <v>1.4170476576884718E-2</v>
      </c>
      <c r="G96" s="1">
        <v>2</v>
      </c>
    </row>
    <row r="97" spans="1:7" x14ac:dyDescent="0.25">
      <c r="A97" s="1" t="s">
        <v>82</v>
      </c>
      <c r="B97" s="1" t="s">
        <v>85</v>
      </c>
      <c r="C97" s="1">
        <v>2023</v>
      </c>
      <c r="D97" s="3">
        <v>16275</v>
      </c>
      <c r="E97" s="1" t="e">
        <f>#NUM!</f>
        <v>#NUM!</v>
      </c>
      <c r="F97" s="2" t="e">
        <f t="shared" si="1"/>
        <v>#NUM!</v>
      </c>
      <c r="G97" s="1">
        <v>1</v>
      </c>
    </row>
    <row r="98" spans="1:7" x14ac:dyDescent="0.25">
      <c r="A98" s="1" t="s">
        <v>82</v>
      </c>
      <c r="B98" s="1" t="s">
        <v>86</v>
      </c>
      <c r="C98" s="1">
        <v>2023</v>
      </c>
      <c r="D98" s="3">
        <v>17200</v>
      </c>
      <c r="E98" s="1">
        <v>282.84271247461902</v>
      </c>
      <c r="F98" s="2">
        <f t="shared" si="1"/>
        <v>1.6444343748524361E-2</v>
      </c>
      <c r="G98" s="1">
        <v>2</v>
      </c>
    </row>
    <row r="99" spans="1:7" x14ac:dyDescent="0.25">
      <c r="A99" s="1" t="s">
        <v>82</v>
      </c>
      <c r="B99" s="1" t="s">
        <v>86</v>
      </c>
      <c r="C99" s="1">
        <v>2024</v>
      </c>
      <c r="D99" s="3">
        <v>18000</v>
      </c>
      <c r="E99" s="1" t="e">
        <f>#NUM!</f>
        <v>#NUM!</v>
      </c>
      <c r="F99" s="2" t="e">
        <f t="shared" si="1"/>
        <v>#NUM!</v>
      </c>
      <c r="G99" s="1">
        <v>1</v>
      </c>
    </row>
    <row r="100" spans="1:7" x14ac:dyDescent="0.25">
      <c r="A100" s="1" t="s">
        <v>87</v>
      </c>
      <c r="B100" s="1" t="s">
        <v>88</v>
      </c>
      <c r="C100" s="1">
        <v>2023</v>
      </c>
      <c r="D100" s="3">
        <v>24000</v>
      </c>
      <c r="E100" s="1" t="e">
        <f>#NUM!</f>
        <v>#NUM!</v>
      </c>
      <c r="F100" s="2" t="e">
        <f t="shared" si="1"/>
        <v>#NUM!</v>
      </c>
      <c r="G100" s="1">
        <v>1</v>
      </c>
    </row>
    <row r="101" spans="1:7" x14ac:dyDescent="0.25">
      <c r="A101" s="1" t="s">
        <v>87</v>
      </c>
      <c r="B101" s="1" t="s">
        <v>89</v>
      </c>
      <c r="C101" s="1">
        <v>2024</v>
      </c>
      <c r="D101" s="3">
        <v>24206</v>
      </c>
      <c r="E101" s="1" t="e">
        <f>#NUM!</f>
        <v>#NUM!</v>
      </c>
      <c r="F101" s="2" t="e">
        <f t="shared" si="1"/>
        <v>#NUM!</v>
      </c>
      <c r="G101" s="1">
        <v>1</v>
      </c>
    </row>
    <row r="102" spans="1:7" x14ac:dyDescent="0.25">
      <c r="A102" s="1" t="s">
        <v>90</v>
      </c>
      <c r="B102" s="1" t="s">
        <v>91</v>
      </c>
      <c r="C102" s="1">
        <v>2023</v>
      </c>
      <c r="D102" s="3">
        <v>24225</v>
      </c>
      <c r="E102" s="1" t="e">
        <f>#NUM!</f>
        <v>#NUM!</v>
      </c>
      <c r="F102" s="2" t="e">
        <f t="shared" si="1"/>
        <v>#NUM!</v>
      </c>
      <c r="G102" s="1">
        <v>1</v>
      </c>
    </row>
    <row r="103" spans="1:7" x14ac:dyDescent="0.25">
      <c r="A103" s="1" t="s">
        <v>90</v>
      </c>
      <c r="B103" s="1" t="s">
        <v>92</v>
      </c>
      <c r="C103" s="1">
        <v>2024</v>
      </c>
      <c r="D103" s="3">
        <v>18650.5</v>
      </c>
      <c r="E103" s="1" t="e">
        <f>#NUM!</f>
        <v>#NUM!</v>
      </c>
      <c r="F103" s="2" t="e">
        <f t="shared" si="1"/>
        <v>#NUM!</v>
      </c>
      <c r="G103" s="1">
        <v>1</v>
      </c>
    </row>
    <row r="104" spans="1:7" x14ac:dyDescent="0.25">
      <c r="A104" s="1" t="s">
        <v>93</v>
      </c>
      <c r="B104" s="1" t="s">
        <v>94</v>
      </c>
      <c r="C104" s="1">
        <v>2022</v>
      </c>
      <c r="D104" s="3">
        <v>29733.333333333328</v>
      </c>
      <c r="E104" s="1">
        <v>2804.1635710730811</v>
      </c>
      <c r="F104" s="2">
        <f t="shared" si="1"/>
        <v>9.4310434004700058E-2</v>
      </c>
      <c r="G104" s="1">
        <v>3</v>
      </c>
    </row>
    <row r="105" spans="1:7" x14ac:dyDescent="0.25">
      <c r="A105" s="1" t="s">
        <v>95</v>
      </c>
      <c r="B105" s="1" t="s">
        <v>96</v>
      </c>
      <c r="C105" s="1">
        <v>2024</v>
      </c>
      <c r="D105" s="3">
        <v>10925</v>
      </c>
      <c r="E105" s="1" t="e">
        <f>#NUM!</f>
        <v>#NUM!</v>
      </c>
      <c r="F105" s="2" t="e">
        <f t="shared" si="1"/>
        <v>#NUM!</v>
      </c>
      <c r="G105" s="1">
        <v>1</v>
      </c>
    </row>
    <row r="106" spans="1:7" x14ac:dyDescent="0.25">
      <c r="A106" s="1" t="s">
        <v>97</v>
      </c>
      <c r="B106" s="1" t="s">
        <v>54</v>
      </c>
      <c r="C106" s="1">
        <v>2022</v>
      </c>
      <c r="D106" s="3">
        <v>10800</v>
      </c>
      <c r="E106" s="1">
        <v>141.42135623730951</v>
      </c>
      <c r="F106" s="2">
        <f t="shared" si="1"/>
        <v>1.3094570021973102E-2</v>
      </c>
      <c r="G106" s="1">
        <v>2</v>
      </c>
    </row>
    <row r="107" spans="1:7" x14ac:dyDescent="0.25">
      <c r="A107" s="1" t="s">
        <v>97</v>
      </c>
      <c r="B107" s="1" t="s">
        <v>98</v>
      </c>
      <c r="C107" s="1">
        <v>2022</v>
      </c>
      <c r="D107" s="3">
        <v>11000</v>
      </c>
      <c r="E107" s="1" t="e">
        <f>#NUM!</f>
        <v>#NUM!</v>
      </c>
      <c r="F107" s="2" t="e">
        <f t="shared" si="1"/>
        <v>#NUM!</v>
      </c>
      <c r="G107" s="1">
        <v>1</v>
      </c>
    </row>
    <row r="108" spans="1:7" x14ac:dyDescent="0.25">
      <c r="A108" s="1" t="s">
        <v>97</v>
      </c>
      <c r="B108" s="1" t="s">
        <v>44</v>
      </c>
      <c r="C108" s="1">
        <v>2022</v>
      </c>
      <c r="D108" s="3">
        <v>10325</v>
      </c>
      <c r="E108" s="1">
        <v>459.61940777125591</v>
      </c>
      <c r="F108" s="2">
        <f t="shared" si="1"/>
        <v>4.4515196878572E-2</v>
      </c>
      <c r="G108" s="1">
        <v>2</v>
      </c>
    </row>
    <row r="109" spans="1:7" x14ac:dyDescent="0.25">
      <c r="A109" s="1" t="s">
        <v>97</v>
      </c>
      <c r="B109" s="1" t="s">
        <v>33</v>
      </c>
      <c r="C109" s="1">
        <v>2023</v>
      </c>
      <c r="D109" s="3">
        <v>11308.33333333333</v>
      </c>
      <c r="E109" s="1">
        <v>447.44645862196012</v>
      </c>
      <c r="F109" s="2">
        <f t="shared" si="1"/>
        <v>3.9567851904668556E-2</v>
      </c>
      <c r="G109" s="1">
        <v>3</v>
      </c>
    </row>
    <row r="110" spans="1:7" x14ac:dyDescent="0.25">
      <c r="A110" s="1" t="s">
        <v>97</v>
      </c>
      <c r="B110" s="1" t="s">
        <v>33</v>
      </c>
      <c r="C110" s="1">
        <v>2024</v>
      </c>
      <c r="D110" s="3">
        <v>11875</v>
      </c>
      <c r="E110" s="1" t="e">
        <f>#NUM!</f>
        <v>#NUM!</v>
      </c>
      <c r="F110" s="2" t="e">
        <f t="shared" si="1"/>
        <v>#NUM!</v>
      </c>
      <c r="G110" s="1">
        <v>1</v>
      </c>
    </row>
    <row r="111" spans="1:7" x14ac:dyDescent="0.25">
      <c r="A111" s="1" t="s">
        <v>97</v>
      </c>
      <c r="B111" s="1" t="s">
        <v>83</v>
      </c>
      <c r="C111" s="1">
        <v>2023</v>
      </c>
      <c r="D111" s="3">
        <v>12438.66666666667</v>
      </c>
      <c r="E111" s="1">
        <v>595.80645627026649</v>
      </c>
      <c r="F111" s="2">
        <f t="shared" si="1"/>
        <v>4.7899543595530045E-2</v>
      </c>
      <c r="G111" s="1">
        <v>3</v>
      </c>
    </row>
    <row r="112" spans="1:7" x14ac:dyDescent="0.25">
      <c r="A112" s="1" t="s">
        <v>97</v>
      </c>
      <c r="B112" s="1" t="s">
        <v>83</v>
      </c>
      <c r="C112" s="1">
        <v>2024</v>
      </c>
      <c r="D112" s="3">
        <v>12500</v>
      </c>
      <c r="E112" s="1" t="e">
        <f>#NUM!</f>
        <v>#NUM!</v>
      </c>
      <c r="F112" s="2" t="e">
        <f t="shared" si="1"/>
        <v>#NUM!</v>
      </c>
      <c r="G112" s="1">
        <v>1</v>
      </c>
    </row>
    <row r="113" spans="1:7" x14ac:dyDescent="0.25">
      <c r="A113" s="1" t="s">
        <v>97</v>
      </c>
      <c r="B113" s="1" t="s">
        <v>99</v>
      </c>
      <c r="C113" s="1">
        <v>2024</v>
      </c>
      <c r="D113" s="3">
        <v>12550</v>
      </c>
      <c r="E113" s="1">
        <v>107.23805294763601</v>
      </c>
      <c r="F113" s="2">
        <f t="shared" si="1"/>
        <v>8.5448647767040649E-3</v>
      </c>
      <c r="G113" s="1">
        <v>11</v>
      </c>
    </row>
    <row r="114" spans="1:7" x14ac:dyDescent="0.25">
      <c r="A114" s="1" t="s">
        <v>97</v>
      </c>
      <c r="B114" s="1" t="s">
        <v>96</v>
      </c>
      <c r="C114" s="1">
        <v>2024</v>
      </c>
      <c r="D114" s="3">
        <v>12500</v>
      </c>
      <c r="E114" s="1">
        <v>0</v>
      </c>
      <c r="F114" s="2">
        <f t="shared" si="1"/>
        <v>0</v>
      </c>
      <c r="G114" s="1">
        <v>3</v>
      </c>
    </row>
    <row r="115" spans="1:7" x14ac:dyDescent="0.25">
      <c r="A115" s="1" t="s">
        <v>97</v>
      </c>
      <c r="B115" s="1" t="s">
        <v>100</v>
      </c>
      <c r="C115" s="1">
        <v>2024</v>
      </c>
      <c r="D115" s="3">
        <v>12500</v>
      </c>
      <c r="E115" s="1" t="e">
        <f>#NUM!</f>
        <v>#NUM!</v>
      </c>
      <c r="F115" s="2" t="e">
        <f t="shared" si="1"/>
        <v>#NUM!</v>
      </c>
      <c r="G115" s="1">
        <v>1</v>
      </c>
    </row>
    <row r="116" spans="1:7" x14ac:dyDescent="0.25">
      <c r="A116" s="1" t="s">
        <v>97</v>
      </c>
      <c r="B116" s="1" t="s">
        <v>46</v>
      </c>
      <c r="C116" s="1">
        <v>2022</v>
      </c>
      <c r="D116" s="3">
        <v>12425</v>
      </c>
      <c r="E116" s="1">
        <v>821.07652911690695</v>
      </c>
      <c r="F116" s="2">
        <f t="shared" si="1"/>
        <v>6.608261803757802E-2</v>
      </c>
      <c r="G116" s="1">
        <v>4</v>
      </c>
    </row>
    <row r="117" spans="1:7" x14ac:dyDescent="0.25">
      <c r="A117" s="1" t="s">
        <v>97</v>
      </c>
      <c r="B117" s="1" t="s">
        <v>46</v>
      </c>
      <c r="C117" s="1">
        <v>2023</v>
      </c>
      <c r="D117" s="3">
        <v>13000</v>
      </c>
      <c r="E117" s="1" t="e">
        <f>#NUM!</f>
        <v>#NUM!</v>
      </c>
      <c r="F117" s="2" t="e">
        <f t="shared" si="1"/>
        <v>#NUM!</v>
      </c>
      <c r="G117" s="1">
        <v>1</v>
      </c>
    </row>
    <row r="118" spans="1:7" x14ac:dyDescent="0.25">
      <c r="A118" s="1" t="s">
        <v>97</v>
      </c>
      <c r="B118" s="1" t="s">
        <v>47</v>
      </c>
      <c r="C118" s="1">
        <v>2023</v>
      </c>
      <c r="D118" s="3">
        <v>12000</v>
      </c>
      <c r="E118" s="1" t="e">
        <f>#NUM!</f>
        <v>#NUM!</v>
      </c>
      <c r="F118" s="2" t="e">
        <f t="shared" si="1"/>
        <v>#NUM!</v>
      </c>
      <c r="G118" s="1">
        <v>1</v>
      </c>
    </row>
    <row r="119" spans="1:7" x14ac:dyDescent="0.25">
      <c r="A119" s="1" t="s">
        <v>97</v>
      </c>
      <c r="B119" s="1" t="s">
        <v>101</v>
      </c>
      <c r="C119" s="1">
        <v>2024</v>
      </c>
      <c r="D119" s="3">
        <v>13000</v>
      </c>
      <c r="E119" s="1" t="e">
        <f>#NUM!</f>
        <v>#NUM!</v>
      </c>
      <c r="F119" s="2" t="e">
        <f t="shared" si="1"/>
        <v>#NUM!</v>
      </c>
      <c r="G119" s="1">
        <v>1</v>
      </c>
    </row>
    <row r="120" spans="1:7" x14ac:dyDescent="0.25">
      <c r="A120" s="1" t="s">
        <v>97</v>
      </c>
      <c r="B120" s="1" t="s">
        <v>102</v>
      </c>
      <c r="C120" s="1">
        <v>2024</v>
      </c>
      <c r="D120" s="3">
        <v>12825</v>
      </c>
      <c r="E120" s="1" t="e">
        <f>#NUM!</f>
        <v>#NUM!</v>
      </c>
      <c r="F120" s="2" t="e">
        <f t="shared" si="1"/>
        <v>#NUM!</v>
      </c>
      <c r="G120" s="1">
        <v>1</v>
      </c>
    </row>
    <row r="121" spans="1:7" x14ac:dyDescent="0.25">
      <c r="A121" s="1" t="s">
        <v>103</v>
      </c>
      <c r="B121" s="1" t="s">
        <v>104</v>
      </c>
      <c r="C121" s="1">
        <v>2024</v>
      </c>
      <c r="D121" s="3">
        <v>13370</v>
      </c>
      <c r="E121" s="1">
        <v>61.891101739881563</v>
      </c>
      <c r="F121" s="2">
        <f t="shared" si="1"/>
        <v>4.6291025983456668E-3</v>
      </c>
      <c r="G121" s="1">
        <v>60</v>
      </c>
    </row>
    <row r="122" spans="1:7" x14ac:dyDescent="0.25">
      <c r="A122" s="1" t="s">
        <v>105</v>
      </c>
      <c r="B122" s="1" t="s">
        <v>106</v>
      </c>
      <c r="C122" s="1">
        <v>2023</v>
      </c>
      <c r="D122" s="3">
        <v>25350</v>
      </c>
      <c r="E122" s="1">
        <v>0</v>
      </c>
      <c r="F122" s="2">
        <f t="shared" si="1"/>
        <v>0</v>
      </c>
      <c r="G122" s="1">
        <v>2</v>
      </c>
    </row>
    <row r="123" spans="1:7" x14ac:dyDescent="0.25">
      <c r="A123" s="1" t="s">
        <v>105</v>
      </c>
      <c r="B123" s="1" t="s">
        <v>107</v>
      </c>
      <c r="C123" s="1">
        <v>2019</v>
      </c>
      <c r="D123" s="3">
        <v>16740</v>
      </c>
      <c r="E123" s="1">
        <v>324.49961479175897</v>
      </c>
      <c r="F123" s="2">
        <f t="shared" si="1"/>
        <v>1.9384684276688109E-2</v>
      </c>
      <c r="G123" s="1">
        <v>3</v>
      </c>
    </row>
    <row r="124" spans="1:7" x14ac:dyDescent="0.25">
      <c r="A124" s="1" t="s">
        <v>105</v>
      </c>
      <c r="B124" s="1" t="s">
        <v>107</v>
      </c>
      <c r="C124" s="1">
        <v>2022</v>
      </c>
      <c r="D124" s="3">
        <v>22500</v>
      </c>
      <c r="E124" s="1" t="e">
        <f>#NUM!</f>
        <v>#NUM!</v>
      </c>
      <c r="F124" s="2" t="e">
        <f t="shared" si="1"/>
        <v>#NUM!</v>
      </c>
      <c r="G124" s="1">
        <v>1</v>
      </c>
    </row>
    <row r="125" spans="1:7" x14ac:dyDescent="0.25">
      <c r="A125" s="1" t="s">
        <v>105</v>
      </c>
      <c r="B125" s="1" t="s">
        <v>107</v>
      </c>
      <c r="C125" s="1">
        <v>2023</v>
      </c>
      <c r="D125" s="3">
        <v>26000</v>
      </c>
      <c r="E125" s="1" t="e">
        <f>#NUM!</f>
        <v>#NUM!</v>
      </c>
      <c r="F125" s="2" t="e">
        <f t="shared" si="1"/>
        <v>#NUM!</v>
      </c>
      <c r="G125" s="1">
        <v>1</v>
      </c>
    </row>
    <row r="126" spans="1:7" x14ac:dyDescent="0.25">
      <c r="A126" s="1" t="s">
        <v>105</v>
      </c>
      <c r="B126" s="1" t="s">
        <v>108</v>
      </c>
      <c r="C126" s="1">
        <v>2024</v>
      </c>
      <c r="D126" s="3">
        <v>25760</v>
      </c>
      <c r="E126" s="1" t="e">
        <f>#NUM!</f>
        <v>#NUM!</v>
      </c>
      <c r="F126" s="2" t="e">
        <f t="shared" si="1"/>
        <v>#NUM!</v>
      </c>
      <c r="G126" s="1">
        <v>1</v>
      </c>
    </row>
    <row r="127" spans="1:7" x14ac:dyDescent="0.25">
      <c r="A127" s="1" t="s">
        <v>105</v>
      </c>
      <c r="B127" s="1" t="s">
        <v>109</v>
      </c>
      <c r="C127" s="1">
        <v>2024</v>
      </c>
      <c r="D127" s="3">
        <v>27600</v>
      </c>
      <c r="E127" s="1" t="e">
        <f>#NUM!</f>
        <v>#NUM!</v>
      </c>
      <c r="F127" s="2" t="e">
        <f t="shared" si="1"/>
        <v>#NUM!</v>
      </c>
      <c r="G127" s="1">
        <v>1</v>
      </c>
    </row>
    <row r="128" spans="1:7" x14ac:dyDescent="0.25">
      <c r="A128" s="1" t="s">
        <v>105</v>
      </c>
      <c r="B128" s="1" t="s">
        <v>110</v>
      </c>
      <c r="C128" s="1">
        <v>2024</v>
      </c>
      <c r="D128" s="3">
        <v>29725</v>
      </c>
      <c r="E128" s="1">
        <v>106.0660171779821</v>
      </c>
      <c r="F128" s="2">
        <f t="shared" si="1"/>
        <v>3.5682427982500287E-3</v>
      </c>
      <c r="G128" s="1">
        <v>2</v>
      </c>
    </row>
    <row r="129" spans="1:7" x14ac:dyDescent="0.25">
      <c r="A129" s="1" t="s">
        <v>105</v>
      </c>
      <c r="B129" s="1" t="s">
        <v>111</v>
      </c>
      <c r="C129" s="1">
        <v>2019</v>
      </c>
      <c r="D129" s="3">
        <v>19113.5</v>
      </c>
      <c r="E129" s="1">
        <v>301.93459556665579</v>
      </c>
      <c r="F129" s="2">
        <f t="shared" si="1"/>
        <v>1.579692864031474E-2</v>
      </c>
      <c r="G129" s="1">
        <v>2</v>
      </c>
    </row>
    <row r="130" spans="1:7" x14ac:dyDescent="0.25">
      <c r="A130" s="1" t="s">
        <v>112</v>
      </c>
      <c r="B130" s="1" t="s">
        <v>113</v>
      </c>
      <c r="C130" s="1">
        <v>2023</v>
      </c>
      <c r="D130" s="3">
        <v>34000</v>
      </c>
      <c r="E130" s="1" t="e">
        <f>#NUM!</f>
        <v>#NUM!</v>
      </c>
      <c r="F130" s="2" t="e">
        <f t="shared" si="1"/>
        <v>#NUM!</v>
      </c>
      <c r="G130" s="1">
        <v>1</v>
      </c>
    </row>
    <row r="131" spans="1:7" x14ac:dyDescent="0.25">
      <c r="A131" s="1" t="s">
        <v>112</v>
      </c>
      <c r="B131" s="1" t="s">
        <v>114</v>
      </c>
      <c r="C131" s="1">
        <v>2023</v>
      </c>
      <c r="D131" s="3">
        <v>35300</v>
      </c>
      <c r="E131" s="1" t="e">
        <f>#NUM!</f>
        <v>#NUM!</v>
      </c>
      <c r="F131" s="2" t="e">
        <f t="shared" ref="F131:F194" si="2">E131/D131</f>
        <v>#NUM!</v>
      </c>
      <c r="G131" s="1">
        <v>1</v>
      </c>
    </row>
    <row r="132" spans="1:7" x14ac:dyDescent="0.25">
      <c r="A132" s="1" t="s">
        <v>115</v>
      </c>
      <c r="B132" s="1" t="s">
        <v>37</v>
      </c>
      <c r="C132" s="1">
        <v>2020</v>
      </c>
      <c r="D132" s="3">
        <v>11112.5</v>
      </c>
      <c r="E132" s="1">
        <v>2421.8407255639249</v>
      </c>
      <c r="F132" s="2">
        <f t="shared" si="2"/>
        <v>0.21793842299787852</v>
      </c>
      <c r="G132" s="1">
        <v>2</v>
      </c>
    </row>
    <row r="133" spans="1:7" x14ac:dyDescent="0.25">
      <c r="A133" s="1" t="s">
        <v>115</v>
      </c>
      <c r="B133" s="1" t="s">
        <v>116</v>
      </c>
      <c r="C133" s="1">
        <v>2022</v>
      </c>
      <c r="D133" s="3">
        <v>21050</v>
      </c>
      <c r="E133" s="1" t="e">
        <f>#NUM!</f>
        <v>#NUM!</v>
      </c>
      <c r="F133" s="2" t="e">
        <f t="shared" si="2"/>
        <v>#NUM!</v>
      </c>
      <c r="G133" s="1">
        <v>1</v>
      </c>
    </row>
    <row r="134" spans="1:7" x14ac:dyDescent="0.25">
      <c r="A134" s="1" t="s">
        <v>117</v>
      </c>
      <c r="B134" s="1" t="s">
        <v>41</v>
      </c>
      <c r="C134" s="1">
        <v>2022</v>
      </c>
      <c r="D134" s="3">
        <v>27000</v>
      </c>
      <c r="E134" s="1" t="e">
        <f>#NUM!</f>
        <v>#NUM!</v>
      </c>
      <c r="F134" s="2" t="e">
        <f t="shared" si="2"/>
        <v>#NUM!</v>
      </c>
      <c r="G134" s="1">
        <v>1</v>
      </c>
    </row>
    <row r="135" spans="1:7" x14ac:dyDescent="0.25">
      <c r="A135" s="1" t="s">
        <v>117</v>
      </c>
      <c r="B135" s="1" t="s">
        <v>118</v>
      </c>
      <c r="C135" s="1">
        <v>2022</v>
      </c>
      <c r="D135" s="3">
        <v>27000</v>
      </c>
      <c r="E135" s="1" t="e">
        <f>#NUM!</f>
        <v>#NUM!</v>
      </c>
      <c r="F135" s="2" t="e">
        <f t="shared" si="2"/>
        <v>#NUM!</v>
      </c>
      <c r="G135" s="1">
        <v>1</v>
      </c>
    </row>
    <row r="136" spans="1:7" x14ac:dyDescent="0.25">
      <c r="A136" s="1" t="s">
        <v>117</v>
      </c>
      <c r="B136" s="1" t="s">
        <v>118</v>
      </c>
      <c r="C136" s="1">
        <v>2023</v>
      </c>
      <c r="D136" s="3">
        <v>28500</v>
      </c>
      <c r="E136" s="1">
        <v>707.10678118654755</v>
      </c>
      <c r="F136" s="2">
        <f t="shared" si="2"/>
        <v>2.4810764252159563E-2</v>
      </c>
      <c r="G136" s="1">
        <v>2</v>
      </c>
    </row>
    <row r="137" spans="1:7" x14ac:dyDescent="0.25">
      <c r="A137" s="1" t="s">
        <v>117</v>
      </c>
      <c r="B137" s="1" t="s">
        <v>119</v>
      </c>
      <c r="C137" s="1">
        <v>2023</v>
      </c>
      <c r="D137" s="3">
        <v>26600</v>
      </c>
      <c r="E137" s="1" t="e">
        <f>#NUM!</f>
        <v>#NUM!</v>
      </c>
      <c r="F137" s="2" t="e">
        <f t="shared" si="2"/>
        <v>#NUM!</v>
      </c>
      <c r="G137" s="1">
        <v>1</v>
      </c>
    </row>
    <row r="138" spans="1:7" x14ac:dyDescent="0.25">
      <c r="A138" s="1" t="s">
        <v>117</v>
      </c>
      <c r="B138" s="1" t="s">
        <v>23</v>
      </c>
      <c r="C138" s="1">
        <v>2023</v>
      </c>
      <c r="D138" s="3">
        <v>27000</v>
      </c>
      <c r="E138" s="1" t="e">
        <f>#NUM!</f>
        <v>#NUM!</v>
      </c>
      <c r="F138" s="2" t="e">
        <f t="shared" si="2"/>
        <v>#NUM!</v>
      </c>
      <c r="G138" s="1">
        <v>1</v>
      </c>
    </row>
    <row r="139" spans="1:7" x14ac:dyDescent="0.25">
      <c r="A139" s="1" t="s">
        <v>117</v>
      </c>
      <c r="B139" s="1" t="s">
        <v>38</v>
      </c>
      <c r="C139" s="1">
        <v>2022</v>
      </c>
      <c r="D139" s="3">
        <v>27000</v>
      </c>
      <c r="E139" s="1" t="e">
        <f>#NUM!</f>
        <v>#NUM!</v>
      </c>
      <c r="F139" s="2" t="e">
        <f t="shared" si="2"/>
        <v>#NUM!</v>
      </c>
      <c r="G139" s="1">
        <v>1</v>
      </c>
    </row>
    <row r="140" spans="1:7" x14ac:dyDescent="0.25">
      <c r="A140" s="1" t="s">
        <v>117</v>
      </c>
      <c r="B140" s="1" t="s">
        <v>38</v>
      </c>
      <c r="C140" s="1">
        <v>2023</v>
      </c>
      <c r="D140" s="3">
        <v>27625</v>
      </c>
      <c r="E140" s="1">
        <v>946.4847243000454</v>
      </c>
      <c r="F140" s="2">
        <f t="shared" si="2"/>
        <v>3.4261890472399831E-2</v>
      </c>
      <c r="G140" s="1">
        <v>4</v>
      </c>
    </row>
    <row r="141" spans="1:7" x14ac:dyDescent="0.25">
      <c r="A141" s="1" t="s">
        <v>120</v>
      </c>
      <c r="B141" s="1" t="s">
        <v>21</v>
      </c>
      <c r="C141" s="1">
        <v>2022</v>
      </c>
      <c r="D141" s="3">
        <v>17850</v>
      </c>
      <c r="E141" s="1" t="e">
        <f>#NUM!</f>
        <v>#NUM!</v>
      </c>
      <c r="F141" s="2" t="e">
        <f t="shared" si="2"/>
        <v>#NUM!</v>
      </c>
      <c r="G141" s="1">
        <v>1</v>
      </c>
    </row>
    <row r="142" spans="1:7" x14ac:dyDescent="0.25">
      <c r="A142" s="1" t="s">
        <v>121</v>
      </c>
      <c r="B142" s="1" t="s">
        <v>41</v>
      </c>
      <c r="C142" s="1">
        <v>2024</v>
      </c>
      <c r="D142" s="3">
        <v>16500</v>
      </c>
      <c r="E142" s="1" t="e">
        <f>#NUM!</f>
        <v>#NUM!</v>
      </c>
      <c r="F142" s="2" t="e">
        <f t="shared" si="2"/>
        <v>#NUM!</v>
      </c>
      <c r="G142" s="1">
        <v>1</v>
      </c>
    </row>
    <row r="143" spans="1:7" x14ac:dyDescent="0.25">
      <c r="A143" s="1" t="s">
        <v>121</v>
      </c>
      <c r="B143" s="1" t="s">
        <v>37</v>
      </c>
      <c r="C143" s="1">
        <v>2021</v>
      </c>
      <c r="D143" s="3">
        <v>11750</v>
      </c>
      <c r="E143" s="1">
        <v>4382.1608064211123</v>
      </c>
      <c r="F143" s="2">
        <f t="shared" si="2"/>
        <v>0.37294985586562657</v>
      </c>
      <c r="G143" s="1">
        <v>4</v>
      </c>
    </row>
    <row r="144" spans="1:7" x14ac:dyDescent="0.25">
      <c r="A144" s="1" t="s">
        <v>121</v>
      </c>
      <c r="B144" s="1" t="s">
        <v>23</v>
      </c>
      <c r="C144" s="1">
        <v>2022</v>
      </c>
      <c r="D144" s="3">
        <v>16750</v>
      </c>
      <c r="E144" s="1">
        <v>1060.660171779821</v>
      </c>
      <c r="F144" s="2">
        <f t="shared" si="2"/>
        <v>6.3322995330138562E-2</v>
      </c>
      <c r="G144" s="1">
        <v>2</v>
      </c>
    </row>
    <row r="145" spans="1:7" x14ac:dyDescent="0.25">
      <c r="A145" s="1" t="s">
        <v>121</v>
      </c>
      <c r="B145" s="1" t="s">
        <v>23</v>
      </c>
      <c r="C145" s="1">
        <v>2023</v>
      </c>
      <c r="D145" s="3">
        <v>20000</v>
      </c>
      <c r="E145" s="1" t="e">
        <f>#NUM!</f>
        <v>#NUM!</v>
      </c>
      <c r="F145" s="2" t="e">
        <f t="shared" si="2"/>
        <v>#NUM!</v>
      </c>
      <c r="G145" s="1">
        <v>1</v>
      </c>
    </row>
    <row r="146" spans="1:7" x14ac:dyDescent="0.25">
      <c r="A146" s="1" t="s">
        <v>121</v>
      </c>
      <c r="B146" s="1" t="s">
        <v>23</v>
      </c>
      <c r="C146" s="1">
        <v>2024</v>
      </c>
      <c r="D146" s="3">
        <v>19580</v>
      </c>
      <c r="E146" s="1" t="e">
        <f>#NUM!</f>
        <v>#NUM!</v>
      </c>
      <c r="F146" s="2" t="e">
        <f t="shared" si="2"/>
        <v>#NUM!</v>
      </c>
      <c r="G146" s="1">
        <v>1</v>
      </c>
    </row>
    <row r="147" spans="1:7" x14ac:dyDescent="0.25">
      <c r="A147" s="1" t="s">
        <v>121</v>
      </c>
      <c r="B147" s="1" t="s">
        <v>42</v>
      </c>
      <c r="C147" s="1">
        <v>2020</v>
      </c>
      <c r="D147" s="3">
        <v>12760</v>
      </c>
      <c r="E147" s="1" t="e">
        <f>#NUM!</f>
        <v>#NUM!</v>
      </c>
      <c r="F147" s="2" t="e">
        <f t="shared" si="2"/>
        <v>#NUM!</v>
      </c>
      <c r="G147" s="1">
        <v>1</v>
      </c>
    </row>
    <row r="148" spans="1:7" x14ac:dyDescent="0.25">
      <c r="A148" s="1" t="s">
        <v>122</v>
      </c>
      <c r="B148" s="1" t="s">
        <v>17</v>
      </c>
      <c r="C148" s="1">
        <v>2024</v>
      </c>
      <c r="D148" s="3">
        <v>16477.5</v>
      </c>
      <c r="E148" s="1">
        <v>208.5965004500315</v>
      </c>
      <c r="F148" s="2">
        <f t="shared" si="2"/>
        <v>1.2659475069035442E-2</v>
      </c>
      <c r="G148" s="1">
        <v>2</v>
      </c>
    </row>
    <row r="149" spans="1:7" x14ac:dyDescent="0.25">
      <c r="A149" s="1" t="s">
        <v>122</v>
      </c>
      <c r="B149" s="1" t="s">
        <v>123</v>
      </c>
      <c r="C149" s="1">
        <v>2024</v>
      </c>
      <c r="D149" s="3">
        <v>15500</v>
      </c>
      <c r="E149" s="1" t="e">
        <f>#NUM!</f>
        <v>#NUM!</v>
      </c>
      <c r="F149" s="2" t="e">
        <f t="shared" si="2"/>
        <v>#NUM!</v>
      </c>
      <c r="G149" s="1">
        <v>1</v>
      </c>
    </row>
    <row r="150" spans="1:7" x14ac:dyDescent="0.25">
      <c r="A150" s="1" t="s">
        <v>122</v>
      </c>
      <c r="B150" s="1" t="s">
        <v>24</v>
      </c>
      <c r="C150" s="1">
        <v>2023</v>
      </c>
      <c r="D150" s="3">
        <v>18500</v>
      </c>
      <c r="E150" s="1" t="e">
        <f>#NUM!</f>
        <v>#NUM!</v>
      </c>
      <c r="F150" s="2" t="e">
        <f t="shared" si="2"/>
        <v>#NUM!</v>
      </c>
      <c r="G150" s="1">
        <v>1</v>
      </c>
    </row>
    <row r="151" spans="1:7" x14ac:dyDescent="0.25">
      <c r="A151" s="1" t="s">
        <v>124</v>
      </c>
      <c r="B151" s="1" t="s">
        <v>125</v>
      </c>
      <c r="C151" s="1">
        <v>2023</v>
      </c>
      <c r="D151" s="3">
        <v>25000</v>
      </c>
      <c r="E151" s="1" t="e">
        <f>#NUM!</f>
        <v>#NUM!</v>
      </c>
      <c r="F151" s="2" t="e">
        <f t="shared" si="2"/>
        <v>#NUM!</v>
      </c>
      <c r="G151" s="1">
        <v>1</v>
      </c>
    </row>
    <row r="152" spans="1:7" x14ac:dyDescent="0.25">
      <c r="A152" s="1" t="s">
        <v>124</v>
      </c>
      <c r="B152" s="1" t="s">
        <v>126</v>
      </c>
      <c r="C152" s="1">
        <v>2024</v>
      </c>
      <c r="D152" s="3">
        <v>25900</v>
      </c>
      <c r="E152" s="1" t="e">
        <f>#NUM!</f>
        <v>#NUM!</v>
      </c>
      <c r="F152" s="2" t="e">
        <f t="shared" si="2"/>
        <v>#NUM!</v>
      </c>
      <c r="G152" s="1">
        <v>1</v>
      </c>
    </row>
    <row r="153" spans="1:7" x14ac:dyDescent="0.25">
      <c r="A153" s="1" t="s">
        <v>124</v>
      </c>
      <c r="B153" s="1" t="s">
        <v>127</v>
      </c>
      <c r="C153" s="1">
        <v>2023</v>
      </c>
      <c r="D153" s="3">
        <v>27550</v>
      </c>
      <c r="E153" s="1" t="e">
        <f>#NUM!</f>
        <v>#NUM!</v>
      </c>
      <c r="F153" s="2" t="e">
        <f t="shared" si="2"/>
        <v>#NUM!</v>
      </c>
      <c r="G153" s="1">
        <v>1</v>
      </c>
    </row>
    <row r="154" spans="1:7" x14ac:dyDescent="0.25">
      <c r="A154" s="1" t="s">
        <v>124</v>
      </c>
      <c r="B154" s="1" t="s">
        <v>128</v>
      </c>
      <c r="C154" s="1">
        <v>2024</v>
      </c>
      <c r="D154" s="3">
        <v>32830</v>
      </c>
      <c r="E154" s="1" t="e">
        <f>#NUM!</f>
        <v>#NUM!</v>
      </c>
      <c r="F154" s="2" t="e">
        <f t="shared" si="2"/>
        <v>#NUM!</v>
      </c>
      <c r="G154" s="1">
        <v>1</v>
      </c>
    </row>
    <row r="155" spans="1:7" x14ac:dyDescent="0.25">
      <c r="A155" s="1" t="s">
        <v>124</v>
      </c>
      <c r="B155" s="1" t="s">
        <v>129</v>
      </c>
      <c r="C155" s="1">
        <v>2021</v>
      </c>
      <c r="D155" s="3">
        <v>17480</v>
      </c>
      <c r="E155" s="1" t="e">
        <f>#NUM!</f>
        <v>#NUM!</v>
      </c>
      <c r="F155" s="2" t="e">
        <f t="shared" si="2"/>
        <v>#NUM!</v>
      </c>
      <c r="G155" s="1">
        <v>1</v>
      </c>
    </row>
    <row r="156" spans="1:7" x14ac:dyDescent="0.25">
      <c r="A156" s="1" t="s">
        <v>124</v>
      </c>
      <c r="B156" s="1" t="s">
        <v>130</v>
      </c>
      <c r="C156" s="1">
        <v>2022</v>
      </c>
      <c r="D156" s="3">
        <v>23500</v>
      </c>
      <c r="E156" s="1" t="e">
        <f>#NUM!</f>
        <v>#NUM!</v>
      </c>
      <c r="F156" s="2" t="e">
        <f t="shared" si="2"/>
        <v>#NUM!</v>
      </c>
      <c r="G156" s="1">
        <v>1</v>
      </c>
    </row>
    <row r="157" spans="1:7" x14ac:dyDescent="0.25">
      <c r="A157" s="1" t="s">
        <v>124</v>
      </c>
      <c r="B157" s="1" t="s">
        <v>131</v>
      </c>
      <c r="C157" s="1">
        <v>2023</v>
      </c>
      <c r="D157" s="3">
        <v>30250</v>
      </c>
      <c r="E157" s="1" t="e">
        <f>#NUM!</f>
        <v>#NUM!</v>
      </c>
      <c r="F157" s="2" t="e">
        <f t="shared" si="2"/>
        <v>#NUM!</v>
      </c>
      <c r="G157" s="1">
        <v>1</v>
      </c>
    </row>
    <row r="158" spans="1:7" x14ac:dyDescent="0.25">
      <c r="A158" s="1" t="s">
        <v>132</v>
      </c>
      <c r="B158" s="1" t="s">
        <v>133</v>
      </c>
      <c r="C158" s="1">
        <v>2024</v>
      </c>
      <c r="D158" s="3">
        <v>12262.25</v>
      </c>
      <c r="E158" s="1">
        <v>17306.792022931339</v>
      </c>
      <c r="F158" s="2">
        <f t="shared" si="2"/>
        <v>1.4113879608498716</v>
      </c>
      <c r="G158" s="1">
        <v>2</v>
      </c>
    </row>
    <row r="159" spans="1:7" x14ac:dyDescent="0.25">
      <c r="A159" s="1" t="s">
        <v>132</v>
      </c>
      <c r="B159" s="1" t="s">
        <v>134</v>
      </c>
      <c r="C159" s="1">
        <v>2024</v>
      </c>
      <c r="D159" s="3">
        <v>24</v>
      </c>
      <c r="E159" s="1" t="e">
        <f>#NUM!</f>
        <v>#NUM!</v>
      </c>
      <c r="F159" s="2" t="e">
        <f t="shared" si="2"/>
        <v>#NUM!</v>
      </c>
      <c r="G159" s="1">
        <v>1</v>
      </c>
    </row>
    <row r="160" spans="1:7" x14ac:dyDescent="0.25">
      <c r="A160" s="1" t="s">
        <v>135</v>
      </c>
      <c r="B160" s="1" t="s">
        <v>136</v>
      </c>
      <c r="C160" s="1">
        <v>2024</v>
      </c>
      <c r="D160" s="3">
        <v>43000</v>
      </c>
      <c r="E160" s="1">
        <v>3464.1016151377539</v>
      </c>
      <c r="F160" s="2">
        <f t="shared" si="2"/>
        <v>8.0560502677622187E-2</v>
      </c>
      <c r="G160" s="1">
        <v>3</v>
      </c>
    </row>
    <row r="161" spans="1:7" x14ac:dyDescent="0.25">
      <c r="A161" s="1" t="s">
        <v>135</v>
      </c>
      <c r="B161" s="1" t="s">
        <v>18</v>
      </c>
      <c r="C161" s="1">
        <v>2024</v>
      </c>
      <c r="D161" s="3">
        <v>37110</v>
      </c>
      <c r="E161" s="1">
        <v>1005.2362906302189</v>
      </c>
      <c r="F161" s="2">
        <f t="shared" si="2"/>
        <v>2.708801645460035E-2</v>
      </c>
      <c r="G161" s="1">
        <v>5</v>
      </c>
    </row>
    <row r="162" spans="1:7" x14ac:dyDescent="0.25">
      <c r="A162" s="1" t="s">
        <v>137</v>
      </c>
      <c r="B162" s="1" t="s">
        <v>138</v>
      </c>
      <c r="C162" s="1">
        <v>2018</v>
      </c>
      <c r="D162" s="3">
        <v>3000</v>
      </c>
      <c r="E162" s="1" t="e">
        <f>#NUM!</f>
        <v>#NUM!</v>
      </c>
      <c r="F162" s="2" t="e">
        <f t="shared" si="2"/>
        <v>#NUM!</v>
      </c>
      <c r="G162" s="1">
        <v>1</v>
      </c>
    </row>
    <row r="163" spans="1:7" x14ac:dyDescent="0.25">
      <c r="A163" s="1" t="s">
        <v>139</v>
      </c>
      <c r="B163" s="1" t="s">
        <v>140</v>
      </c>
      <c r="C163" s="1">
        <v>2024</v>
      </c>
      <c r="D163" s="3">
        <v>11000</v>
      </c>
      <c r="E163" s="1" t="e">
        <f>#NUM!</f>
        <v>#NUM!</v>
      </c>
      <c r="F163" s="2" t="e">
        <f t="shared" si="2"/>
        <v>#NUM!</v>
      </c>
      <c r="G163" s="1">
        <v>1</v>
      </c>
    </row>
    <row r="164" spans="1:7" x14ac:dyDescent="0.25">
      <c r="A164" s="1" t="s">
        <v>139</v>
      </c>
      <c r="B164" s="1" t="s">
        <v>141</v>
      </c>
      <c r="C164" s="1">
        <v>2024</v>
      </c>
      <c r="D164" s="3">
        <v>11000</v>
      </c>
      <c r="E164" s="1" t="e">
        <f>#NUM!</f>
        <v>#NUM!</v>
      </c>
      <c r="F164" s="2" t="e">
        <f t="shared" si="2"/>
        <v>#NUM!</v>
      </c>
      <c r="G164" s="1">
        <v>1</v>
      </c>
    </row>
    <row r="165" spans="1:7" x14ac:dyDescent="0.25">
      <c r="A165" s="1" t="s">
        <v>139</v>
      </c>
      <c r="B165" s="1" t="s">
        <v>33</v>
      </c>
      <c r="C165" s="1">
        <v>2024</v>
      </c>
      <c r="D165" s="3">
        <v>7574.166666666667</v>
      </c>
      <c r="E165" s="1">
        <v>6550.2005376425941</v>
      </c>
      <c r="F165" s="2">
        <f t="shared" si="2"/>
        <v>0.8648080806657622</v>
      </c>
      <c r="G165" s="1">
        <v>3</v>
      </c>
    </row>
    <row r="166" spans="1:7" x14ac:dyDescent="0.25">
      <c r="A166" s="1" t="s">
        <v>139</v>
      </c>
      <c r="B166" s="1" t="s">
        <v>142</v>
      </c>
      <c r="C166" s="1">
        <v>2022</v>
      </c>
      <c r="D166" s="3">
        <v>11032.18227272727</v>
      </c>
      <c r="E166" s="1">
        <v>999.18682721277878</v>
      </c>
      <c r="F166" s="2">
        <f t="shared" si="2"/>
        <v>9.0570188427984463E-2</v>
      </c>
      <c r="G166" s="1">
        <v>22</v>
      </c>
    </row>
    <row r="167" spans="1:7" x14ac:dyDescent="0.25">
      <c r="A167" s="1" t="s">
        <v>139</v>
      </c>
      <c r="B167" s="1" t="s">
        <v>143</v>
      </c>
      <c r="C167" s="1">
        <v>2022</v>
      </c>
      <c r="D167" s="3">
        <v>10966.66666666667</v>
      </c>
      <c r="E167" s="1">
        <v>1115.0485789118479</v>
      </c>
      <c r="F167" s="2">
        <f t="shared" si="2"/>
        <v>0.10167616221080678</v>
      </c>
      <c r="G167" s="1">
        <v>3</v>
      </c>
    </row>
    <row r="168" spans="1:7" x14ac:dyDescent="0.25">
      <c r="A168" s="1" t="s">
        <v>139</v>
      </c>
      <c r="B168" s="1" t="s">
        <v>144</v>
      </c>
      <c r="C168" s="1">
        <v>2021</v>
      </c>
      <c r="D168" s="3">
        <v>7820</v>
      </c>
      <c r="E168" s="1" t="e">
        <f>#NUM!</f>
        <v>#NUM!</v>
      </c>
      <c r="F168" s="2" t="e">
        <f t="shared" si="2"/>
        <v>#NUM!</v>
      </c>
      <c r="G168" s="1">
        <v>1</v>
      </c>
    </row>
    <row r="169" spans="1:7" x14ac:dyDescent="0.25">
      <c r="A169" s="1" t="s">
        <v>139</v>
      </c>
      <c r="B169" s="1" t="s">
        <v>145</v>
      </c>
      <c r="C169" s="1">
        <v>2023</v>
      </c>
      <c r="D169" s="3">
        <v>11350</v>
      </c>
      <c r="E169" s="1" t="e">
        <f>#NUM!</f>
        <v>#NUM!</v>
      </c>
      <c r="F169" s="2" t="e">
        <f t="shared" si="2"/>
        <v>#NUM!</v>
      </c>
      <c r="G169" s="1">
        <v>1</v>
      </c>
    </row>
    <row r="170" spans="1:7" x14ac:dyDescent="0.25">
      <c r="A170" s="1" t="s">
        <v>139</v>
      </c>
      <c r="B170" s="1" t="s">
        <v>146</v>
      </c>
      <c r="C170" s="1">
        <v>2022</v>
      </c>
      <c r="D170" s="3">
        <v>11505</v>
      </c>
      <c r="E170" s="1">
        <v>709.06041115455503</v>
      </c>
      <c r="F170" s="2">
        <f t="shared" si="2"/>
        <v>6.1630631130339418E-2</v>
      </c>
      <c r="G170" s="1">
        <v>4</v>
      </c>
    </row>
    <row r="171" spans="1:7" x14ac:dyDescent="0.25">
      <c r="A171" s="1" t="s">
        <v>139</v>
      </c>
      <c r="B171" s="1" t="s">
        <v>147</v>
      </c>
      <c r="C171" s="1">
        <v>2023</v>
      </c>
      <c r="D171" s="3">
        <v>12000</v>
      </c>
      <c r="E171" s="1" t="e">
        <f>#NUM!</f>
        <v>#NUM!</v>
      </c>
      <c r="F171" s="2" t="e">
        <f t="shared" si="2"/>
        <v>#NUM!</v>
      </c>
      <c r="G171" s="1">
        <v>1</v>
      </c>
    </row>
    <row r="172" spans="1:7" x14ac:dyDescent="0.25">
      <c r="A172" s="1" t="s">
        <v>139</v>
      </c>
      <c r="B172" s="1" t="s">
        <v>148</v>
      </c>
      <c r="C172" s="1">
        <v>2023</v>
      </c>
      <c r="D172" s="3">
        <v>12710</v>
      </c>
      <c r="E172" s="1" t="e">
        <f>#NUM!</f>
        <v>#NUM!</v>
      </c>
      <c r="F172" s="2" t="e">
        <f t="shared" si="2"/>
        <v>#NUM!</v>
      </c>
      <c r="G172" s="1">
        <v>1</v>
      </c>
    </row>
    <row r="173" spans="1:7" x14ac:dyDescent="0.25">
      <c r="A173" s="1" t="s">
        <v>139</v>
      </c>
      <c r="B173" s="1" t="s">
        <v>149</v>
      </c>
      <c r="C173" s="1">
        <v>2023</v>
      </c>
      <c r="D173" s="3">
        <v>12913.75</v>
      </c>
      <c r="E173" s="1">
        <v>225.2914778681164</v>
      </c>
      <c r="F173" s="2">
        <f t="shared" si="2"/>
        <v>1.7445860255008529E-2</v>
      </c>
      <c r="G173" s="1">
        <v>4</v>
      </c>
    </row>
    <row r="174" spans="1:7" x14ac:dyDescent="0.25">
      <c r="A174" s="1" t="s">
        <v>139</v>
      </c>
      <c r="B174" s="1" t="s">
        <v>150</v>
      </c>
      <c r="C174" s="1">
        <v>2024</v>
      </c>
      <c r="D174" s="3">
        <v>13</v>
      </c>
      <c r="E174" s="1" t="e">
        <f>#NUM!</f>
        <v>#NUM!</v>
      </c>
      <c r="F174" s="2" t="e">
        <f t="shared" si="2"/>
        <v>#NUM!</v>
      </c>
      <c r="G174" s="1">
        <v>1</v>
      </c>
    </row>
    <row r="175" spans="1:7" x14ac:dyDescent="0.25">
      <c r="A175" s="1" t="s">
        <v>139</v>
      </c>
      <c r="B175" s="1" t="s">
        <v>151</v>
      </c>
      <c r="C175" s="1">
        <v>2024</v>
      </c>
      <c r="D175" s="3">
        <v>14.5</v>
      </c>
      <c r="E175" s="1" t="e">
        <f>#NUM!</f>
        <v>#NUM!</v>
      </c>
      <c r="F175" s="2" t="e">
        <f t="shared" si="2"/>
        <v>#NUM!</v>
      </c>
      <c r="G175" s="1">
        <v>1</v>
      </c>
    </row>
    <row r="176" spans="1:7" x14ac:dyDescent="0.25">
      <c r="A176" s="1" t="s">
        <v>139</v>
      </c>
      <c r="B176" s="1" t="s">
        <v>152</v>
      </c>
      <c r="C176" s="1">
        <v>2023</v>
      </c>
      <c r="D176" s="3">
        <v>13.5</v>
      </c>
      <c r="E176" s="1" t="e">
        <f>#NUM!</f>
        <v>#NUM!</v>
      </c>
      <c r="F176" s="2" t="e">
        <f t="shared" si="2"/>
        <v>#NUM!</v>
      </c>
      <c r="G176" s="1">
        <v>1</v>
      </c>
    </row>
    <row r="177" spans="1:7" x14ac:dyDescent="0.25">
      <c r="A177" s="1" t="s">
        <v>139</v>
      </c>
      <c r="B177" s="1" t="s">
        <v>153</v>
      </c>
      <c r="C177" s="1">
        <v>2024</v>
      </c>
      <c r="D177" s="3">
        <v>14500</v>
      </c>
      <c r="E177" s="1" t="e">
        <f>#NUM!</f>
        <v>#NUM!</v>
      </c>
      <c r="F177" s="2" t="e">
        <f t="shared" si="2"/>
        <v>#NUM!</v>
      </c>
      <c r="G177" s="1">
        <v>1</v>
      </c>
    </row>
    <row r="178" spans="1:7" x14ac:dyDescent="0.25">
      <c r="A178" s="1" t="s">
        <v>139</v>
      </c>
      <c r="B178" s="1" t="s">
        <v>154</v>
      </c>
      <c r="C178" s="1">
        <v>2024</v>
      </c>
      <c r="D178" s="3">
        <v>14</v>
      </c>
      <c r="E178" s="1" t="e">
        <f>#NUM!</f>
        <v>#NUM!</v>
      </c>
      <c r="F178" s="2" t="e">
        <f t="shared" si="2"/>
        <v>#NUM!</v>
      </c>
      <c r="G178" s="1">
        <v>1</v>
      </c>
    </row>
    <row r="179" spans="1:7" x14ac:dyDescent="0.25">
      <c r="A179" s="1" t="s">
        <v>139</v>
      </c>
      <c r="B179" s="1" t="s">
        <v>155</v>
      </c>
      <c r="C179" s="1">
        <v>2024</v>
      </c>
      <c r="D179" s="3">
        <v>14250</v>
      </c>
      <c r="E179" s="1" t="e">
        <f>#NUM!</f>
        <v>#NUM!</v>
      </c>
      <c r="F179" s="2" t="e">
        <f t="shared" si="2"/>
        <v>#NUM!</v>
      </c>
      <c r="G179" s="1">
        <v>1</v>
      </c>
    </row>
    <row r="180" spans="1:7" x14ac:dyDescent="0.25">
      <c r="A180" s="1" t="s">
        <v>139</v>
      </c>
      <c r="B180" s="1" t="s">
        <v>156</v>
      </c>
      <c r="C180" s="1">
        <v>2024</v>
      </c>
      <c r="D180" s="3">
        <v>14600</v>
      </c>
      <c r="E180" s="1">
        <v>141.42135623730951</v>
      </c>
      <c r="F180" s="2">
        <f t="shared" si="2"/>
        <v>9.6863942628294189E-3</v>
      </c>
      <c r="G180" s="1">
        <v>2</v>
      </c>
    </row>
    <row r="181" spans="1:7" x14ac:dyDescent="0.25">
      <c r="A181" s="1" t="s">
        <v>157</v>
      </c>
      <c r="B181" s="1" t="s">
        <v>158</v>
      </c>
      <c r="C181" s="1">
        <v>2020</v>
      </c>
      <c r="D181" s="3">
        <v>8288.8372093023263</v>
      </c>
      <c r="E181" s="1">
        <v>337.49927197329367</v>
      </c>
      <c r="F181" s="2">
        <f t="shared" si="2"/>
        <v>4.0717324209785161E-2</v>
      </c>
      <c r="G181" s="1">
        <v>43</v>
      </c>
    </row>
    <row r="182" spans="1:7" x14ac:dyDescent="0.25">
      <c r="A182" s="1" t="s">
        <v>157</v>
      </c>
      <c r="B182" s="1" t="s">
        <v>158</v>
      </c>
      <c r="C182" s="1">
        <v>2021</v>
      </c>
      <c r="D182" s="3">
        <v>8458.3333333333339</v>
      </c>
      <c r="E182" s="1">
        <v>224.5365597551247</v>
      </c>
      <c r="F182" s="2">
        <f t="shared" si="2"/>
        <v>2.6546194256763508E-2</v>
      </c>
      <c r="G182" s="1">
        <v>6</v>
      </c>
    </row>
    <row r="183" spans="1:7" x14ac:dyDescent="0.25">
      <c r="A183" s="1" t="s">
        <v>157</v>
      </c>
      <c r="B183" s="1" t="s">
        <v>159</v>
      </c>
      <c r="C183" s="1">
        <v>2023</v>
      </c>
      <c r="D183" s="3">
        <v>9500</v>
      </c>
      <c r="E183" s="1" t="e">
        <f>#NUM!</f>
        <v>#NUM!</v>
      </c>
      <c r="F183" s="2" t="e">
        <f t="shared" si="2"/>
        <v>#NUM!</v>
      </c>
      <c r="G183" s="1">
        <v>1</v>
      </c>
    </row>
    <row r="184" spans="1:7" x14ac:dyDescent="0.25">
      <c r="A184" s="1" t="s">
        <v>157</v>
      </c>
      <c r="B184" s="1" t="s">
        <v>33</v>
      </c>
      <c r="C184" s="1">
        <v>2024</v>
      </c>
      <c r="D184" s="3">
        <v>11</v>
      </c>
      <c r="E184" s="1" t="e">
        <f>#NUM!</f>
        <v>#NUM!</v>
      </c>
      <c r="F184" s="2" t="e">
        <f t="shared" si="2"/>
        <v>#NUM!</v>
      </c>
      <c r="G184" s="1">
        <v>1</v>
      </c>
    </row>
    <row r="185" spans="1:7" x14ac:dyDescent="0.25">
      <c r="A185" s="1" t="s">
        <v>157</v>
      </c>
      <c r="B185" s="1" t="s">
        <v>34</v>
      </c>
      <c r="C185" s="1">
        <v>2023</v>
      </c>
      <c r="D185" s="3">
        <v>10712.5</v>
      </c>
      <c r="E185" s="1">
        <v>529.7405025104274</v>
      </c>
      <c r="F185" s="2">
        <f t="shared" si="2"/>
        <v>4.9450688682420293E-2</v>
      </c>
      <c r="G185" s="1">
        <v>4</v>
      </c>
    </row>
    <row r="186" spans="1:7" x14ac:dyDescent="0.25">
      <c r="A186" s="1" t="s">
        <v>157</v>
      </c>
      <c r="B186" s="1" t="s">
        <v>34</v>
      </c>
      <c r="C186" s="1">
        <v>2024</v>
      </c>
      <c r="D186" s="3">
        <v>6005.75</v>
      </c>
      <c r="E186" s="1">
        <v>8477.1496462549258</v>
      </c>
      <c r="F186" s="2">
        <f t="shared" si="2"/>
        <v>1.4115055815268578</v>
      </c>
      <c r="G186" s="1">
        <v>2</v>
      </c>
    </row>
    <row r="187" spans="1:7" x14ac:dyDescent="0.25">
      <c r="A187" s="1" t="s">
        <v>160</v>
      </c>
      <c r="B187" s="1" t="s">
        <v>18</v>
      </c>
      <c r="C187" s="1">
        <v>2024</v>
      </c>
      <c r="D187" s="3">
        <v>26400</v>
      </c>
      <c r="E187" s="1">
        <v>1060.660171779821</v>
      </c>
      <c r="F187" s="2">
        <f t="shared" si="2"/>
        <v>4.0176521658326553E-2</v>
      </c>
      <c r="G187" s="1">
        <v>2</v>
      </c>
    </row>
    <row r="188" spans="1:7" x14ac:dyDescent="0.25">
      <c r="A188" s="1" t="s">
        <v>160</v>
      </c>
      <c r="B188" s="1" t="s">
        <v>26</v>
      </c>
      <c r="C188" s="1">
        <v>2024</v>
      </c>
      <c r="D188" s="3">
        <v>25687.5</v>
      </c>
      <c r="E188" s="1">
        <v>1383.631995871734</v>
      </c>
      <c r="F188" s="2">
        <f t="shared" si="2"/>
        <v>5.3864019304009109E-2</v>
      </c>
      <c r="G188" s="1">
        <v>6</v>
      </c>
    </row>
    <row r="189" spans="1:7" x14ac:dyDescent="0.25">
      <c r="A189" s="1" t="s">
        <v>161</v>
      </c>
      <c r="B189" s="1" t="s">
        <v>94</v>
      </c>
      <c r="C189" s="1">
        <v>2020</v>
      </c>
      <c r="D189" s="3">
        <v>19480</v>
      </c>
      <c r="E189" s="1" t="e">
        <f>#NUM!</f>
        <v>#NUM!</v>
      </c>
      <c r="F189" s="2" t="e">
        <f t="shared" si="2"/>
        <v>#NUM!</v>
      </c>
      <c r="G189" s="1">
        <v>1</v>
      </c>
    </row>
    <row r="190" spans="1:7" x14ac:dyDescent="0.25">
      <c r="A190" s="1" t="s">
        <v>161</v>
      </c>
      <c r="B190" s="1" t="s">
        <v>94</v>
      </c>
      <c r="C190" s="1">
        <v>2021</v>
      </c>
      <c r="D190" s="3">
        <v>20700</v>
      </c>
      <c r="E190" s="1" t="e">
        <f>#NUM!</f>
        <v>#NUM!</v>
      </c>
      <c r="F190" s="2" t="e">
        <f t="shared" si="2"/>
        <v>#NUM!</v>
      </c>
      <c r="G190" s="1">
        <v>1</v>
      </c>
    </row>
    <row r="191" spans="1:7" x14ac:dyDescent="0.25">
      <c r="A191" s="1" t="s">
        <v>161</v>
      </c>
      <c r="B191" s="1" t="s">
        <v>94</v>
      </c>
      <c r="C191" s="1">
        <v>2022</v>
      </c>
      <c r="D191" s="3">
        <v>16741.833333333328</v>
      </c>
      <c r="E191" s="1">
        <v>14477.11470160174</v>
      </c>
      <c r="F191" s="2">
        <f t="shared" si="2"/>
        <v>0.86472696349076139</v>
      </c>
      <c r="G191" s="1">
        <v>3</v>
      </c>
    </row>
    <row r="192" spans="1:7" x14ac:dyDescent="0.25">
      <c r="A192" s="1" t="s">
        <v>162</v>
      </c>
      <c r="B192" s="1" t="s">
        <v>163</v>
      </c>
      <c r="C192" s="1">
        <v>2024</v>
      </c>
      <c r="D192" s="3">
        <v>30025</v>
      </c>
      <c r="E192" s="1">
        <v>35.355339059327378</v>
      </c>
      <c r="F192" s="2">
        <f t="shared" si="2"/>
        <v>1.1775300269551167E-3</v>
      </c>
      <c r="G192" s="1">
        <v>2</v>
      </c>
    </row>
    <row r="193" spans="1:7" x14ac:dyDescent="0.25">
      <c r="A193" s="1" t="s">
        <v>162</v>
      </c>
      <c r="B193" s="1" t="s">
        <v>164</v>
      </c>
      <c r="C193" s="1">
        <v>2024</v>
      </c>
      <c r="D193" s="3">
        <v>25000</v>
      </c>
      <c r="E193" s="1" t="e">
        <f>#NUM!</f>
        <v>#NUM!</v>
      </c>
      <c r="F193" s="2" t="e">
        <f t="shared" si="2"/>
        <v>#NUM!</v>
      </c>
      <c r="G193" s="1">
        <v>1</v>
      </c>
    </row>
    <row r="194" spans="1:7" x14ac:dyDescent="0.25">
      <c r="A194" s="1" t="s">
        <v>162</v>
      </c>
      <c r="B194" s="1" t="s">
        <v>165</v>
      </c>
      <c r="C194" s="1">
        <v>2023</v>
      </c>
      <c r="D194" s="3">
        <v>27000</v>
      </c>
      <c r="E194" s="1" t="e">
        <f>#NUM!</f>
        <v>#NUM!</v>
      </c>
      <c r="F194" s="2" t="e">
        <f t="shared" si="2"/>
        <v>#NUM!</v>
      </c>
      <c r="G194" s="1">
        <v>1</v>
      </c>
    </row>
    <row r="195" spans="1:7" x14ac:dyDescent="0.25">
      <c r="A195" s="1" t="s">
        <v>162</v>
      </c>
      <c r="B195" s="1" t="s">
        <v>166</v>
      </c>
      <c r="C195" s="1">
        <v>2024</v>
      </c>
      <c r="D195" s="3">
        <v>26750</v>
      </c>
      <c r="E195" s="1" t="e">
        <f>#NUM!</f>
        <v>#NUM!</v>
      </c>
      <c r="F195" s="2" t="e">
        <f t="shared" ref="F195:F204" si="3">E195/D195</f>
        <v>#NUM!</v>
      </c>
      <c r="G195" s="1">
        <v>1</v>
      </c>
    </row>
    <row r="196" spans="1:7" x14ac:dyDescent="0.25">
      <c r="A196" s="1" t="s">
        <v>162</v>
      </c>
      <c r="B196" s="1" t="s">
        <v>167</v>
      </c>
      <c r="C196" s="1">
        <v>2021</v>
      </c>
      <c r="D196" s="3">
        <v>26700</v>
      </c>
      <c r="E196" s="1" t="e">
        <f>#NUM!</f>
        <v>#NUM!</v>
      </c>
      <c r="F196" s="2" t="e">
        <f t="shared" si="3"/>
        <v>#NUM!</v>
      </c>
      <c r="G196" s="1">
        <v>1</v>
      </c>
    </row>
    <row r="197" spans="1:7" x14ac:dyDescent="0.25">
      <c r="A197" s="1" t="s">
        <v>168</v>
      </c>
      <c r="B197" s="1" t="s">
        <v>169</v>
      </c>
      <c r="C197" s="1">
        <v>2020</v>
      </c>
      <c r="D197" s="3">
        <v>10979.277777777779</v>
      </c>
      <c r="E197" s="1">
        <v>4196.9381332638732</v>
      </c>
      <c r="F197" s="2">
        <f t="shared" si="3"/>
        <v>0.3822599462560769</v>
      </c>
      <c r="G197" s="1">
        <v>9</v>
      </c>
    </row>
    <row r="198" spans="1:7" x14ac:dyDescent="0.25">
      <c r="A198" s="1" t="s">
        <v>170</v>
      </c>
      <c r="B198" s="1" t="s">
        <v>171</v>
      </c>
      <c r="C198" s="1">
        <v>2024</v>
      </c>
      <c r="D198" s="3">
        <v>38000</v>
      </c>
      <c r="E198" s="1" t="e">
        <f>#NUM!</f>
        <v>#NUM!</v>
      </c>
      <c r="F198" s="2" t="e">
        <f t="shared" si="3"/>
        <v>#NUM!</v>
      </c>
      <c r="G198" s="1">
        <v>1</v>
      </c>
    </row>
    <row r="199" spans="1:7" x14ac:dyDescent="0.25">
      <c r="A199" s="1" t="s">
        <v>170</v>
      </c>
      <c r="B199" s="1" t="s">
        <v>172</v>
      </c>
      <c r="C199" s="1">
        <v>2022</v>
      </c>
      <c r="D199" s="3">
        <v>35100</v>
      </c>
      <c r="E199" s="1" t="e">
        <f>#NUM!</f>
        <v>#NUM!</v>
      </c>
      <c r="F199" s="2" t="e">
        <f t="shared" si="3"/>
        <v>#NUM!</v>
      </c>
      <c r="G199" s="1">
        <v>1</v>
      </c>
    </row>
    <row r="200" spans="1:7" x14ac:dyDescent="0.25">
      <c r="A200" s="1" t="s">
        <v>173</v>
      </c>
      <c r="B200" s="1" t="s">
        <v>172</v>
      </c>
      <c r="C200" s="1">
        <v>2022</v>
      </c>
      <c r="D200" s="3">
        <v>35500</v>
      </c>
      <c r="E200" s="1" t="e">
        <f>#NUM!</f>
        <v>#NUM!</v>
      </c>
      <c r="F200" s="2" t="e">
        <f t="shared" si="3"/>
        <v>#NUM!</v>
      </c>
      <c r="G200" s="1">
        <v>1</v>
      </c>
    </row>
    <row r="201" spans="1:7" x14ac:dyDescent="0.25">
      <c r="A201" s="1" t="s">
        <v>174</v>
      </c>
      <c r="B201" s="1" t="s">
        <v>175</v>
      </c>
      <c r="C201" s="1">
        <v>2024</v>
      </c>
      <c r="D201" s="3">
        <v>28879.5</v>
      </c>
      <c r="E201" s="1">
        <v>33.565855667130869</v>
      </c>
      <c r="F201" s="2">
        <f t="shared" si="3"/>
        <v>1.1622727425035361E-3</v>
      </c>
      <c r="G201" s="1">
        <v>10</v>
      </c>
    </row>
    <row r="202" spans="1:7" x14ac:dyDescent="0.25">
      <c r="A202" s="1" t="s">
        <v>174</v>
      </c>
      <c r="B202" s="1" t="s">
        <v>176</v>
      </c>
      <c r="C202" s="1">
        <v>2024</v>
      </c>
      <c r="D202" s="3">
        <v>30348.51</v>
      </c>
      <c r="E202" s="1">
        <v>0</v>
      </c>
      <c r="F202" s="2">
        <f t="shared" si="3"/>
        <v>0</v>
      </c>
      <c r="G202" s="1">
        <v>2</v>
      </c>
    </row>
    <row r="203" spans="1:7" x14ac:dyDescent="0.25">
      <c r="A203" s="1" t="s">
        <v>174</v>
      </c>
      <c r="B203" s="1" t="s">
        <v>177</v>
      </c>
      <c r="C203" s="1">
        <v>2024</v>
      </c>
      <c r="D203" s="3">
        <v>32125.17666666667</v>
      </c>
      <c r="E203" s="1">
        <v>33.565855667130677</v>
      </c>
      <c r="F203" s="2">
        <f t="shared" si="3"/>
        <v>1.0448457923021748E-3</v>
      </c>
      <c r="G203" s="1">
        <v>6</v>
      </c>
    </row>
    <row r="204" spans="1:7" x14ac:dyDescent="0.25">
      <c r="A204" s="1" t="s">
        <v>178</v>
      </c>
      <c r="B204" s="1" t="s">
        <v>179</v>
      </c>
      <c r="C204" s="1">
        <v>2023</v>
      </c>
      <c r="D204" s="3">
        <v>19633.333333333328</v>
      </c>
      <c r="E204" s="1">
        <v>284.01877872187731</v>
      </c>
      <c r="F204" s="2">
        <f t="shared" si="3"/>
        <v>1.4466151717582889E-2</v>
      </c>
      <c r="G204" s="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0" zoomScale="40" zoomScaleNormal="40" workbookViewId="0">
      <selection activeCell="AI77" sqref="AI7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Gestionare - Date</vt:lpstr>
      <vt:lpstr>Vizualizari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Vasile Mihai</dc:creator>
  <cp:lastModifiedBy>Vasile Mihai</cp:lastModifiedBy>
  <dcterms:created xsi:type="dcterms:W3CDTF">2025-11-07T09:11:56Z</dcterms:created>
  <dcterms:modified xsi:type="dcterms:W3CDTF">2025-11-07T09:14:12Z</dcterms:modified>
</cp:coreProperties>
</file>