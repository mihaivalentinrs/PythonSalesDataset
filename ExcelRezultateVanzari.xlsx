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alen\PycharmProjects\SalesSummaryProject\"/>
    </mc:Choice>
  </mc:AlternateContent>
  <xr:revisionPtr revIDLastSave="0" documentId="13_ncr:1_{49E28AA6-4AA2-428A-9304-E25212578DC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35" i="1" l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5" i="1"/>
  <c r="I112" i="1"/>
  <c r="I111" i="1"/>
  <c r="I110" i="1"/>
  <c r="I107" i="1"/>
  <c r="I106" i="1"/>
  <c r="I104" i="1"/>
  <c r="I102" i="1"/>
  <c r="I101" i="1"/>
  <c r="I97" i="1"/>
  <c r="I96" i="1"/>
  <c r="I94" i="1"/>
  <c r="I93" i="1"/>
  <c r="I92" i="1"/>
  <c r="I91" i="1"/>
  <c r="I90" i="1"/>
  <c r="I89" i="1"/>
  <c r="I88" i="1"/>
  <c r="I85" i="1"/>
  <c r="I84" i="1"/>
  <c r="I80" i="1"/>
  <c r="I79" i="1"/>
  <c r="I78" i="1"/>
  <c r="I72" i="1"/>
  <c r="I71" i="1"/>
  <c r="I70" i="1"/>
  <c r="I68" i="1"/>
  <c r="I65" i="1"/>
  <c r="I64" i="1"/>
  <c r="I63" i="1"/>
  <c r="I59" i="1"/>
  <c r="I55" i="1"/>
  <c r="I45" i="1"/>
  <c r="I43" i="1"/>
  <c r="C40" i="1"/>
  <c r="C38" i="1"/>
  <c r="I37" i="1"/>
  <c r="C34" i="1"/>
  <c r="C29" i="1"/>
  <c r="I27" i="1"/>
  <c r="C23" i="1"/>
  <c r="I18" i="1"/>
  <c r="I16" i="1"/>
  <c r="I14" i="1"/>
  <c r="I7" i="1"/>
</calcChain>
</file>

<file path=xl/sharedStrings.xml><?xml version="1.0" encoding="utf-8"?>
<sst xmlns="http://schemas.openxmlformats.org/spreadsheetml/2006/main" count="183" uniqueCount="183">
  <si>
    <t>Modele</t>
  </si>
  <si>
    <t>Medie vanzare/Model</t>
  </si>
  <si>
    <t>Abatere standard/MedieModel</t>
  </si>
  <si>
    <t>An de fabricatie</t>
  </si>
  <si>
    <t>Medie vanzare/An de fabricatie</t>
  </si>
  <si>
    <t>Abatere standard/MedieAnFabricatie</t>
  </si>
  <si>
    <t>Echipare</t>
  </si>
  <si>
    <t>Medie vanzare/Echipare</t>
  </si>
  <si>
    <t>Abatere standard/Echipare</t>
  </si>
  <si>
    <t>DUSTER</t>
  </si>
  <si>
    <t>ARKANA</t>
  </si>
  <si>
    <t>MASTER</t>
  </si>
  <si>
    <t>ZOE</t>
  </si>
  <si>
    <t>DUSTERIII</t>
  </si>
  <si>
    <t>SPRING</t>
  </si>
  <si>
    <t>QASHQAI</t>
  </si>
  <si>
    <t>JOGGER7L</t>
  </si>
  <si>
    <t>KANGOOVAN</t>
  </si>
  <si>
    <t>DUSTERIIF.2</t>
  </si>
  <si>
    <t>AUSTRAL</t>
  </si>
  <si>
    <t>MEGANESEDAN</t>
  </si>
  <si>
    <t>SANDEROIII</t>
  </si>
  <si>
    <t>TALISMAN</t>
  </si>
  <si>
    <t>LOGANIII</t>
  </si>
  <si>
    <t>CAPTUR</t>
  </si>
  <si>
    <t>MEGANEE-TECH</t>
  </si>
  <si>
    <t>X-TRAIL5L</t>
  </si>
  <si>
    <t>NOULCLIO</t>
  </si>
  <si>
    <t>CLIO5</t>
  </si>
  <si>
    <t>TRAFIC</t>
  </si>
  <si>
    <t>X-TRAIL7L</t>
  </si>
  <si>
    <t>MEGANE4</t>
  </si>
  <si>
    <t>EXPRESS</t>
  </si>
  <si>
    <t>KOLEOS</t>
  </si>
  <si>
    <t>RAFALE</t>
  </si>
  <si>
    <t>SYMBIOZ</t>
  </si>
  <si>
    <t>MEGANEESTATE</t>
  </si>
  <si>
    <t>MASTERE-TECH</t>
  </si>
  <si>
    <t>LOGANSLXX</t>
  </si>
  <si>
    <t>ARIYA</t>
  </si>
  <si>
    <t>X-Trail</t>
  </si>
  <si>
    <t>DUSTERPICK-UP</t>
  </si>
  <si>
    <t>JOGGER5L</t>
  </si>
  <si>
    <t>R5</t>
  </si>
  <si>
    <t>JUKE</t>
  </si>
  <si>
    <t>LOGAN</t>
  </si>
  <si>
    <t>TRAFICCOMBI</t>
  </si>
  <si>
    <t>SANDERO</t>
  </si>
  <si>
    <t>BIGSTER</t>
  </si>
  <si>
    <t>SL BLUELINE</t>
  </si>
  <si>
    <t xml:space="preserve">INTENS E-TECH </t>
  </si>
  <si>
    <t>PRESTIGE</t>
  </si>
  <si>
    <t>FG L3H2 TR</t>
  </si>
  <si>
    <t>EQUILIBRE Z.E. 40 - R110</t>
  </si>
  <si>
    <t>JOURNEY TCE 130 4X2</t>
  </si>
  <si>
    <t>JOURNEY HEV 140</t>
  </si>
  <si>
    <t>EXTREME HEV 140</t>
  </si>
  <si>
    <t>JOURNEY ECO-G 100</t>
  </si>
  <si>
    <t>JOURNEY TCE 130 4X4</t>
  </si>
  <si>
    <t>EXTREME TCE 130 4X4</t>
  </si>
  <si>
    <t>BUSINESS STEP1 DT</t>
  </si>
  <si>
    <t>PACK N-CONNECTA 12</t>
  </si>
  <si>
    <t>EXTREME+ ECO-G</t>
  </si>
  <si>
    <t>L1</t>
  </si>
  <si>
    <t>PRESTIGE PLUS ECO-G</t>
  </si>
  <si>
    <t>ICONIC ESPRIT</t>
  </si>
  <si>
    <t>INTENS</t>
  </si>
  <si>
    <t>STEPWAY COMFORT</t>
  </si>
  <si>
    <t>JOURNEY+</t>
  </si>
  <si>
    <t>EXTREME HYBRID</t>
  </si>
  <si>
    <t>JOURNEY</t>
  </si>
  <si>
    <t>INITIALE PARIS</t>
  </si>
  <si>
    <t>COMFORT ECO-G</t>
  </si>
  <si>
    <t>EXPRESSION ECO-G</t>
  </si>
  <si>
    <t>TECHNO M. HYB.</t>
  </si>
  <si>
    <t xml:space="preserve">TECHNO </t>
  </si>
  <si>
    <t>PACK TEKNA 02 EPOWER 4WD</t>
  </si>
  <si>
    <t>RS LINE</t>
  </si>
  <si>
    <t>SL BLUELINE ECO-G</t>
  </si>
  <si>
    <t xml:space="preserve">SL BLUELINE </t>
  </si>
  <si>
    <t>E-TECH ENG</t>
  </si>
  <si>
    <t>STEPWAY EXTREME</t>
  </si>
  <si>
    <t>TECHNO E-TECH</t>
  </si>
  <si>
    <t>ZEN</t>
  </si>
  <si>
    <t>ZEN L2 9L</t>
  </si>
  <si>
    <t>SASIU CAB SPLA L3 TR</t>
  </si>
  <si>
    <t>STEPWAY COMFORT ECO-G</t>
  </si>
  <si>
    <t>ESPRIT ALPINE</t>
  </si>
  <si>
    <t xml:space="preserve">COMFORT ECO-G </t>
  </si>
  <si>
    <t>TECHNO</t>
  </si>
  <si>
    <t>JOURNEY+ ECO-G</t>
  </si>
  <si>
    <t>CABINA DUBLA L2H1</t>
  </si>
  <si>
    <t xml:space="preserve">COMFORT </t>
  </si>
  <si>
    <t>COMFORT</t>
  </si>
  <si>
    <t>ICONIC</t>
  </si>
  <si>
    <t>EQUILIBRE</t>
  </si>
  <si>
    <t>ICONIC E-TECH</t>
  </si>
  <si>
    <t>CONFORT</t>
  </si>
  <si>
    <t>FG L3H2 PR</t>
  </si>
  <si>
    <t>EXTREME</t>
  </si>
  <si>
    <t>PRESTIGE PLUS</t>
  </si>
  <si>
    <t xml:space="preserve">EXTREME </t>
  </si>
  <si>
    <t>STEPWAY ESENTIAL</t>
  </si>
  <si>
    <t xml:space="preserve">EXTREME HEV </t>
  </si>
  <si>
    <t>EXPRESSION</t>
  </si>
  <si>
    <t>ATELIER ALPINE E-TECH</t>
  </si>
  <si>
    <t>PACK ACENTA 01 CVT 2WD</t>
  </si>
  <si>
    <t>ESPRIT ALPINE E-TECH</t>
  </si>
  <si>
    <t xml:space="preserve">JOURNEY HEV </t>
  </si>
  <si>
    <t>AVANTAJ</t>
  </si>
  <si>
    <t>FG L2H1</t>
  </si>
  <si>
    <t>EXTREME HEV</t>
  </si>
  <si>
    <t>FG L3H2</t>
  </si>
  <si>
    <t xml:space="preserve">PRESTIGE </t>
  </si>
  <si>
    <t xml:space="preserve">JOURNEY </t>
  </si>
  <si>
    <t>FURGON L2H2 EV52</t>
  </si>
  <si>
    <t>XX ECO-G 100 MT6</t>
  </si>
  <si>
    <t>ESSENTIAL</t>
  </si>
  <si>
    <t>FG L1H1</t>
  </si>
  <si>
    <t>RS</t>
  </si>
  <si>
    <t>87kWh e4ORCE (4WD) 389CP Evolve Plus (22kWh charger inclus)</t>
  </si>
  <si>
    <t>87kWh e4ORCE (4WD) 302CP Evolve std +P1 (jante 20"+piele premium)+P2 (22kW charger)</t>
  </si>
  <si>
    <t>e4ORCE 5loc 211CP, ACENTA std</t>
  </si>
  <si>
    <t>e4ORCE 5loc 211CP, N-CONNECTA std</t>
  </si>
  <si>
    <t>e4ORCE 5loc 211CP, N-CONNECTA std+P1</t>
  </si>
  <si>
    <t xml:space="preserve">SL BLUELINE ECO-G </t>
  </si>
  <si>
    <t>PACK N-TREK 01 ePower 4WD</t>
  </si>
  <si>
    <t>E-TECH L1 22 KW EV44</t>
  </si>
  <si>
    <t>TECHNO ESPRIT ALPINE</t>
  </si>
  <si>
    <t>INTENS E-TECH</t>
  </si>
  <si>
    <t>EXPRESSION HYBRID</t>
  </si>
  <si>
    <t>ESSENTIAL ECO-G MT5</t>
  </si>
  <si>
    <t>STPW EXTREME</t>
  </si>
  <si>
    <t>EXPRESSION TCE90 MT5</t>
  </si>
  <si>
    <t>STPW EXTREME+ ECO-G</t>
  </si>
  <si>
    <t>STPW EXTREME+</t>
  </si>
  <si>
    <t>STPW EXTREME ECO-G</t>
  </si>
  <si>
    <t>STPW EXPRESSION</t>
  </si>
  <si>
    <t>STPW EXPRESSION ECO-G</t>
  </si>
  <si>
    <t>CITY</t>
  </si>
  <si>
    <t>STPW EXPRESSION CVT</t>
  </si>
  <si>
    <t>TECHNO COMF RANGE</t>
  </si>
  <si>
    <t>ICONIC 5 COMF RANGE</t>
  </si>
  <si>
    <t>PACK N-SPORT 01 HEV 2WD</t>
  </si>
  <si>
    <t>N-DESIGN PACK 0010 ePower 2WD</t>
  </si>
  <si>
    <t>SASIU CAB DBL L3 TR</t>
  </si>
  <si>
    <t>EVOLVE PLUSe4WD</t>
  </si>
  <si>
    <t>EXPRESSION TCE90 MT6</t>
  </si>
  <si>
    <t>PRESTIGE ECO-G MT6</t>
  </si>
  <si>
    <t>JOURNEY MT6</t>
  </si>
  <si>
    <t>EXTREME ECO-G</t>
  </si>
  <si>
    <t>XX ECO-G</t>
  </si>
  <si>
    <t>STEPWAY EXPRESSION</t>
  </si>
  <si>
    <t>FURGON L3H2 TR</t>
  </si>
  <si>
    <t>FURGON L2H1</t>
  </si>
  <si>
    <t>EVOLVE e4WD</t>
  </si>
  <si>
    <t>EVOLVE e2WD</t>
  </si>
  <si>
    <t>N-CONNECTAeP2WD</t>
  </si>
  <si>
    <t>STEPWAY EXPRESSION ECO-G</t>
  </si>
  <si>
    <t xml:space="preserve">RS LINE </t>
  </si>
  <si>
    <t xml:space="preserve">PRESTIGE PLUS </t>
  </si>
  <si>
    <t>ICONIC EA E-TECH</t>
  </si>
  <si>
    <t>STEPWAY ESSENTIAL</t>
  </si>
  <si>
    <t>JOURNEY HEV</t>
  </si>
  <si>
    <t>AUTHENTIQUE L2H1 8+1</t>
  </si>
  <si>
    <t>EV 87KW PACK EVOLVE 04</t>
  </si>
  <si>
    <t xml:space="preserve">EXPRESSION HEV </t>
  </si>
  <si>
    <t xml:space="preserve">ICONIC ESPRIT ALPINE E-TECH </t>
  </si>
  <si>
    <t xml:space="preserve">JOURNEY  </t>
  </si>
  <si>
    <t>ACENTA ePwr 2WD</t>
  </si>
  <si>
    <t>FURGON L3H2 EV52</t>
  </si>
  <si>
    <t>ENG E-TECH</t>
  </si>
  <si>
    <t xml:space="preserve">STEPWAY EXPRESSION </t>
  </si>
  <si>
    <t>TECHNO E. AL E-TECH</t>
  </si>
  <si>
    <t>ePower 2WD PACK N-CONNECTA 15</t>
  </si>
  <si>
    <t>STEPWAY PRESTIGE</t>
  </si>
  <si>
    <t>JOURNEY + ECO-G</t>
  </si>
  <si>
    <t>EVOLUTION E-TECH</t>
  </si>
  <si>
    <t>N-DESIGN HEV</t>
  </si>
  <si>
    <t xml:space="preserve">FURGON L3H2 </t>
  </si>
  <si>
    <t>N-CONNECT PACK 0003</t>
  </si>
  <si>
    <t>EXTREME+</t>
  </si>
  <si>
    <t xml:space="preserve">ICONIC OPTIMUM CHARGE EV60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</si>
</sst>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5"/>
  <sheetViews>
    <sheetView tabSelected="1" topLeftCell="A7" workbookViewId="0">
      <selection activeCell="E17" sqref="E17"/>
    </sheetView>
  </sheetViews>
  <sheetFormatPr defaultRowHeight="15" x14ac:dyDescent="0.25"/>
  <cols>
    <col min="1" max="1" width="15.140625" bestFit="1" customWidth="1"/>
    <col min="2" max="2" width="20.85546875" bestFit="1" customWidth="1"/>
    <col min="3" max="3" width="29.140625" bestFit="1" customWidth="1"/>
    <col min="4" max="4" width="15.140625" bestFit="1" customWidth="1"/>
    <col min="5" max="5" width="29.42578125" bestFit="1" customWidth="1"/>
    <col min="6" max="6" width="34.85546875" bestFit="1" customWidth="1"/>
    <col min="7" max="7" width="82.140625" bestFit="1" customWidth="1"/>
    <col min="8" max="8" width="22.85546875" bestFit="1" customWidth="1"/>
    <col min="9" max="9" width="25.140625" bestFit="1" customWidth="1"/>
  </cols>
  <sheetData>
    <row r="1" spans="1:9" x14ac:dyDescent="0.25">
      <c r="A1" s="4" t="s">
        <v>0</v>
      </c>
      <c r="B1" s="4" t="s">
        <v>1</v>
      </c>
      <c r="C1" s="4" t="s">
        <v>2</v>
      </c>
      <c r="D1" s="5" t="s">
        <v>3</v>
      </c>
      <c r="E1" s="4" t="s">
        <v>4</v>
      </c>
      <c r="F1" s="6" t="s">
        <v>5</v>
      </c>
      <c r="G1" s="4" t="s">
        <v>6</v>
      </c>
      <c r="H1" s="4" t="s">
        <v>7</v>
      </c>
      <c r="I1" s="4" t="s">
        <v>8</v>
      </c>
    </row>
    <row r="2" spans="1:9" x14ac:dyDescent="0.25">
      <c r="A2" s="1" t="s">
        <v>9</v>
      </c>
      <c r="B2" s="1">
        <v>14143.808434759359</v>
      </c>
      <c r="C2" s="1">
        <v>2422.6342607933052</v>
      </c>
      <c r="D2" s="2">
        <v>2021</v>
      </c>
      <c r="E2" s="1">
        <v>13967.836605314011</v>
      </c>
      <c r="F2" s="3">
        <v>2880.7670241726451</v>
      </c>
      <c r="G2" s="1" t="s">
        <v>49</v>
      </c>
      <c r="H2" s="1">
        <v>14699.675303333341</v>
      </c>
      <c r="I2" s="1">
        <v>1987.991652100241</v>
      </c>
    </row>
    <row r="3" spans="1:9" x14ac:dyDescent="0.25">
      <c r="A3" s="1" t="s">
        <v>10</v>
      </c>
      <c r="B3" s="1">
        <v>21484.390952380949</v>
      </c>
      <c r="C3" s="1">
        <v>2896.7705889005169</v>
      </c>
      <c r="D3" s="2">
        <v>2022</v>
      </c>
      <c r="E3" s="1">
        <v>16544.539663865551</v>
      </c>
      <c r="F3" s="3">
        <v>5845.3642720919497</v>
      </c>
      <c r="G3" s="1" t="s">
        <v>50</v>
      </c>
      <c r="H3" s="1">
        <v>17900</v>
      </c>
      <c r="I3" s="1">
        <v>5798.2756057296901</v>
      </c>
    </row>
    <row r="4" spans="1:9" x14ac:dyDescent="0.25">
      <c r="A4" s="1" t="s">
        <v>11</v>
      </c>
      <c r="B4" s="1">
        <v>22568.357142857141</v>
      </c>
      <c r="C4" s="1">
        <v>5123.4829740825999</v>
      </c>
      <c r="D4" s="2">
        <v>2023</v>
      </c>
      <c r="E4" s="1">
        <v>22284.227826086961</v>
      </c>
      <c r="F4" s="3">
        <v>9015.8895574438993</v>
      </c>
      <c r="G4" s="1" t="s">
        <v>51</v>
      </c>
      <c r="H4" s="1">
        <v>14401.76153846154</v>
      </c>
      <c r="I4" s="1">
        <v>2316.1688694457948</v>
      </c>
    </row>
    <row r="5" spans="1:9" x14ac:dyDescent="0.25">
      <c r="A5" s="1" t="s">
        <v>12</v>
      </c>
      <c r="B5" s="1">
        <v>19633.333333333328</v>
      </c>
      <c r="C5" s="1">
        <v>284.01877872187731</v>
      </c>
      <c r="D5" s="2">
        <v>2024</v>
      </c>
      <c r="E5" s="1">
        <v>20786.573250000001</v>
      </c>
      <c r="F5" s="3">
        <v>9260.6616247642378</v>
      </c>
      <c r="G5" s="1" t="s">
        <v>52</v>
      </c>
      <c r="H5" s="1">
        <v>19744</v>
      </c>
      <c r="I5" s="1">
        <v>4301.6194624815435</v>
      </c>
    </row>
    <row r="6" spans="1:9" x14ac:dyDescent="0.25">
      <c r="A6" s="1" t="s">
        <v>13</v>
      </c>
      <c r="B6" s="1">
        <v>21496.81395348837</v>
      </c>
      <c r="C6" s="1">
        <v>1792.762250933484</v>
      </c>
      <c r="D6" s="2">
        <v>2020</v>
      </c>
      <c r="E6" s="1">
        <v>9194.5350877192977</v>
      </c>
      <c r="F6" s="3">
        <v>2564.7236168620052</v>
      </c>
      <c r="G6" s="1" t="s">
        <v>53</v>
      </c>
      <c r="H6" s="1">
        <v>19633.333333333328</v>
      </c>
      <c r="I6" s="1">
        <v>284.01877872187731</v>
      </c>
    </row>
    <row r="7" spans="1:9" x14ac:dyDescent="0.25">
      <c r="A7" s="1" t="s">
        <v>14</v>
      </c>
      <c r="B7" s="1">
        <v>8272.6754385964905</v>
      </c>
      <c r="C7" s="1">
        <v>1801.827421801931</v>
      </c>
      <c r="D7" s="2">
        <v>2019</v>
      </c>
      <c r="E7" s="1">
        <v>17689.400000000001</v>
      </c>
      <c r="F7" s="3">
        <v>1328.7181040386261</v>
      </c>
      <c r="G7" s="1" t="s">
        <v>54</v>
      </c>
      <c r="H7" s="1">
        <v>18600</v>
      </c>
      <c r="I7" s="1" t="e">
        <f>#NUM!</f>
        <v>#NUM!</v>
      </c>
    </row>
    <row r="8" spans="1:9" x14ac:dyDescent="0.25">
      <c r="A8" s="1" t="s">
        <v>15</v>
      </c>
      <c r="B8" s="1">
        <v>26072.857142857141</v>
      </c>
      <c r="C8" s="1">
        <v>4948.5207024783822</v>
      </c>
      <c r="D8" s="2">
        <v>2018</v>
      </c>
      <c r="E8" s="1">
        <v>9250</v>
      </c>
      <c r="F8" s="3">
        <v>8838.834764831845</v>
      </c>
      <c r="G8" s="1" t="s">
        <v>55</v>
      </c>
      <c r="H8" s="1">
        <v>21633.333333333328</v>
      </c>
      <c r="I8" s="1">
        <v>115.47005383792509</v>
      </c>
    </row>
    <row r="9" spans="1:9" x14ac:dyDescent="0.25">
      <c r="A9" s="1" t="s">
        <v>16</v>
      </c>
      <c r="B9" s="1">
        <v>17872</v>
      </c>
      <c r="C9" s="1">
        <v>1457.5020487883451</v>
      </c>
      <c r="G9" s="1" t="s">
        <v>56</v>
      </c>
      <c r="H9" s="1">
        <v>21820</v>
      </c>
      <c r="I9" s="1">
        <v>164.31676725154981</v>
      </c>
    </row>
    <row r="10" spans="1:9" x14ac:dyDescent="0.25">
      <c r="A10" s="1" t="s">
        <v>17</v>
      </c>
      <c r="B10" s="1">
        <v>21437.75</v>
      </c>
      <c r="C10" s="1">
        <v>3941.766751724409</v>
      </c>
      <c r="G10" s="1" t="s">
        <v>57</v>
      </c>
      <c r="H10" s="1">
        <v>17000</v>
      </c>
      <c r="I10" s="1">
        <v>0</v>
      </c>
    </row>
    <row r="11" spans="1:9" x14ac:dyDescent="0.25">
      <c r="A11" s="1" t="s">
        <v>18</v>
      </c>
      <c r="B11" s="1">
        <v>16539.66</v>
      </c>
      <c r="C11" s="1">
        <v>2495.5346638880151</v>
      </c>
      <c r="G11" s="1" t="s">
        <v>58</v>
      </c>
      <c r="H11" s="1">
        <v>21700</v>
      </c>
      <c r="I11" s="1">
        <v>0</v>
      </c>
    </row>
    <row r="12" spans="1:9" x14ac:dyDescent="0.25">
      <c r="A12" s="1" t="s">
        <v>19</v>
      </c>
      <c r="B12" s="1">
        <v>28926.25</v>
      </c>
      <c r="C12" s="1">
        <v>2576.3758460286808</v>
      </c>
      <c r="G12" s="1" t="s">
        <v>59</v>
      </c>
      <c r="H12" s="1">
        <v>21700</v>
      </c>
      <c r="I12" s="1">
        <v>0</v>
      </c>
    </row>
    <row r="13" spans="1:9" x14ac:dyDescent="0.25">
      <c r="A13" s="1" t="s">
        <v>20</v>
      </c>
      <c r="B13" s="1">
        <v>14934</v>
      </c>
      <c r="C13" s="1">
        <v>4220.4586375311292</v>
      </c>
      <c r="G13" s="1" t="s">
        <v>60</v>
      </c>
      <c r="H13" s="1">
        <v>8309.5918367346931</v>
      </c>
      <c r="I13" s="1">
        <v>328.74102765749541</v>
      </c>
    </row>
    <row r="14" spans="1:9" x14ac:dyDescent="0.25">
      <c r="A14" s="1" t="s">
        <v>21</v>
      </c>
      <c r="B14" s="1">
        <v>10397.8102</v>
      </c>
      <c r="C14" s="1">
        <v>3750.9154174896012</v>
      </c>
      <c r="G14" s="1" t="s">
        <v>61</v>
      </c>
      <c r="H14" s="1">
        <v>23500</v>
      </c>
      <c r="I14" s="1" t="e">
        <f>#NUM!</f>
        <v>#NUM!</v>
      </c>
    </row>
    <row r="15" spans="1:9" x14ac:dyDescent="0.25">
      <c r="A15" s="1" t="s">
        <v>22</v>
      </c>
      <c r="B15" s="1">
        <v>18081.099999999999</v>
      </c>
      <c r="C15" s="1">
        <v>10408.77231233348</v>
      </c>
      <c r="G15" s="1" t="s">
        <v>62</v>
      </c>
      <c r="H15" s="1">
        <v>17466.666666666672</v>
      </c>
      <c r="I15" s="1">
        <v>503.32229568471672</v>
      </c>
    </row>
    <row r="16" spans="1:9" x14ac:dyDescent="0.25">
      <c r="A16" s="1" t="s">
        <v>23</v>
      </c>
      <c r="B16" s="1">
        <v>12151.138888888891</v>
      </c>
      <c r="C16" s="1">
        <v>795.64500888193231</v>
      </c>
      <c r="G16" s="1" t="s">
        <v>63</v>
      </c>
      <c r="H16" s="1">
        <v>18650.5</v>
      </c>
      <c r="I16" s="1" t="e">
        <f>#NUM!</f>
        <v>#NUM!</v>
      </c>
    </row>
    <row r="17" spans="1:9" x14ac:dyDescent="0.25">
      <c r="A17" s="1" t="s">
        <v>24</v>
      </c>
      <c r="B17" s="1">
        <v>14198</v>
      </c>
      <c r="C17" s="1">
        <v>2472.6544441146639</v>
      </c>
      <c r="G17" s="1" t="s">
        <v>64</v>
      </c>
      <c r="H17" s="1">
        <v>13512.75</v>
      </c>
      <c r="I17" s="1">
        <v>370.87750673234422</v>
      </c>
    </row>
    <row r="18" spans="1:9" x14ac:dyDescent="0.25">
      <c r="A18" s="1" t="s">
        <v>25</v>
      </c>
      <c r="B18" s="1">
        <v>27463.63636363636</v>
      </c>
      <c r="C18" s="1">
        <v>839.37205966451756</v>
      </c>
      <c r="G18" s="1" t="s">
        <v>65</v>
      </c>
      <c r="H18" s="1">
        <v>30400</v>
      </c>
      <c r="I18" s="1" t="e">
        <f>#NUM!</f>
        <v>#NUM!</v>
      </c>
    </row>
    <row r="19" spans="1:9" x14ac:dyDescent="0.25">
      <c r="A19" s="1" t="s">
        <v>26</v>
      </c>
      <c r="B19" s="1">
        <v>36550</v>
      </c>
      <c r="C19" s="1">
        <v>2050.609665440988</v>
      </c>
      <c r="G19" s="1" t="s">
        <v>66</v>
      </c>
      <c r="H19" s="1">
        <v>12060.71428571429</v>
      </c>
      <c r="I19" s="1">
        <v>3547.647610942859</v>
      </c>
    </row>
    <row r="20" spans="1:9" x14ac:dyDescent="0.25">
      <c r="A20" s="1" t="s">
        <v>27</v>
      </c>
      <c r="B20" s="1">
        <v>16738.75</v>
      </c>
      <c r="C20" s="1">
        <v>1267.0857311168811</v>
      </c>
      <c r="G20" s="1" t="s">
        <v>67</v>
      </c>
      <c r="H20" s="1">
        <v>11032.18227272727</v>
      </c>
      <c r="I20" s="1">
        <v>999.18682721277969</v>
      </c>
    </row>
    <row r="21" spans="1:9" x14ac:dyDescent="0.25">
      <c r="A21" s="1" t="s">
        <v>28</v>
      </c>
      <c r="B21" s="1">
        <v>11912.5</v>
      </c>
      <c r="C21" s="1">
        <v>3990.901109607536</v>
      </c>
      <c r="G21" s="1" t="s">
        <v>68</v>
      </c>
      <c r="H21" s="1">
        <v>17350.375</v>
      </c>
      <c r="I21" s="1">
        <v>895.6328867661922</v>
      </c>
    </row>
    <row r="22" spans="1:9" x14ac:dyDescent="0.25">
      <c r="A22" s="1" t="s">
        <v>29</v>
      </c>
      <c r="B22" s="1">
        <v>27583.333333333328</v>
      </c>
      <c r="C22" s="1">
        <v>2020.5609782104241</v>
      </c>
      <c r="G22" s="1" t="s">
        <v>69</v>
      </c>
      <c r="H22" s="1">
        <v>18712.5</v>
      </c>
      <c r="I22" s="1">
        <v>265.1650429449553</v>
      </c>
    </row>
    <row r="23" spans="1:9" x14ac:dyDescent="0.25">
      <c r="A23" s="1" t="s">
        <v>30</v>
      </c>
      <c r="B23" s="1">
        <v>35500</v>
      </c>
      <c r="C23" s="1" t="e">
        <f>#NUM!</f>
        <v>#NUM!</v>
      </c>
      <c r="G23" s="1" t="s">
        <v>70</v>
      </c>
      <c r="H23" s="1">
        <v>16158.835714285709</v>
      </c>
      <c r="I23" s="1">
        <v>4754.7484096843236</v>
      </c>
    </row>
    <row r="24" spans="1:9" x14ac:dyDescent="0.25">
      <c r="A24" s="1" t="s">
        <v>31</v>
      </c>
      <c r="B24" s="1">
        <v>14425</v>
      </c>
      <c r="C24" s="1">
        <v>5987.5391439221503</v>
      </c>
      <c r="G24" s="1" t="s">
        <v>71</v>
      </c>
      <c r="H24" s="1">
        <v>22450.6875</v>
      </c>
      <c r="I24" s="1">
        <v>10026.20920009687</v>
      </c>
    </row>
    <row r="25" spans="1:9" x14ac:dyDescent="0.25">
      <c r="A25" s="1" t="s">
        <v>32</v>
      </c>
      <c r="B25" s="1">
        <v>14487.5</v>
      </c>
      <c r="C25" s="1">
        <v>2236.58035104189</v>
      </c>
      <c r="G25" s="1" t="s">
        <v>72</v>
      </c>
      <c r="H25" s="1">
        <v>11100</v>
      </c>
      <c r="I25" s="1">
        <v>725.77544736647019</v>
      </c>
    </row>
    <row r="26" spans="1:9" x14ac:dyDescent="0.25">
      <c r="A26" s="1" t="s">
        <v>33</v>
      </c>
      <c r="B26" s="1">
        <v>29733.333333333328</v>
      </c>
      <c r="C26" s="1">
        <v>2804.1635710730811</v>
      </c>
      <c r="G26" s="1" t="s">
        <v>73</v>
      </c>
      <c r="H26" s="1">
        <v>13097.2</v>
      </c>
      <c r="I26" s="1">
        <v>1498.909336817941</v>
      </c>
    </row>
    <row r="27" spans="1:9" x14ac:dyDescent="0.25">
      <c r="A27" s="1" t="s">
        <v>34</v>
      </c>
      <c r="B27" s="1">
        <v>39318.75</v>
      </c>
      <c r="C27" s="1">
        <v>3646.714519360446</v>
      </c>
      <c r="G27" s="1" t="s">
        <v>74</v>
      </c>
      <c r="H27" s="1">
        <v>14900</v>
      </c>
      <c r="I27" s="1" t="e">
        <f>#NUM!</f>
        <v>#NUM!</v>
      </c>
    </row>
    <row r="28" spans="1:9" x14ac:dyDescent="0.25">
      <c r="A28" s="1" t="s">
        <v>35</v>
      </c>
      <c r="B28" s="1">
        <v>25865.625</v>
      </c>
      <c r="C28" s="1">
        <v>1279.4346896188181</v>
      </c>
      <c r="G28" s="1" t="s">
        <v>75</v>
      </c>
      <c r="H28" s="1">
        <v>25666.666666666672</v>
      </c>
      <c r="I28" s="1">
        <v>4557.0458267024997</v>
      </c>
    </row>
    <row r="29" spans="1:9" x14ac:dyDescent="0.25">
      <c r="A29" s="1" t="s">
        <v>36</v>
      </c>
      <c r="B29" s="1">
        <v>17850</v>
      </c>
      <c r="C29" s="1" t="e">
        <f>#NUM!</f>
        <v>#NUM!</v>
      </c>
      <c r="G29" s="1" t="s">
        <v>76</v>
      </c>
      <c r="H29" s="1">
        <v>35300</v>
      </c>
      <c r="I29" s="1">
        <v>282.84271247461902</v>
      </c>
    </row>
    <row r="30" spans="1:9" x14ac:dyDescent="0.25">
      <c r="A30" s="1" t="s">
        <v>37</v>
      </c>
      <c r="B30" s="1">
        <v>34650</v>
      </c>
      <c r="C30" s="1">
        <v>919.23881554251182</v>
      </c>
      <c r="G30" s="1" t="s">
        <v>77</v>
      </c>
      <c r="H30" s="1">
        <v>20107.776249999999</v>
      </c>
      <c r="I30" s="1">
        <v>2223.2189540518398</v>
      </c>
    </row>
    <row r="31" spans="1:9" x14ac:dyDescent="0.25">
      <c r="A31" s="1" t="s">
        <v>38</v>
      </c>
      <c r="B31" s="1">
        <v>13370</v>
      </c>
      <c r="C31" s="1">
        <v>61.89110173988076</v>
      </c>
      <c r="G31" s="1" t="s">
        <v>78</v>
      </c>
      <c r="H31" s="1">
        <v>10059</v>
      </c>
      <c r="I31" s="1">
        <v>1567.0669701352549</v>
      </c>
    </row>
    <row r="32" spans="1:9" x14ac:dyDescent="0.25">
      <c r="A32" s="1" t="s">
        <v>39</v>
      </c>
      <c r="B32" s="1">
        <v>35144.901960784307</v>
      </c>
      <c r="C32" s="1">
        <v>934.67721176675661</v>
      </c>
      <c r="G32" s="1" t="s">
        <v>79</v>
      </c>
      <c r="H32" s="1">
        <v>14902.08333333333</v>
      </c>
      <c r="I32" s="1">
        <v>812.36875396844414</v>
      </c>
    </row>
    <row r="33" spans="1:9" x14ac:dyDescent="0.25">
      <c r="A33" s="1" t="s">
        <v>40</v>
      </c>
      <c r="B33" s="1">
        <v>30124.615555555549</v>
      </c>
      <c r="C33" s="1">
        <v>1526.869669703814</v>
      </c>
      <c r="G33" s="1" t="s">
        <v>80</v>
      </c>
      <c r="H33" s="1">
        <v>23653.333333333328</v>
      </c>
      <c r="I33" s="1">
        <v>1006.843251620297</v>
      </c>
    </row>
    <row r="34" spans="1:9" x14ac:dyDescent="0.25">
      <c r="A34" s="1" t="s">
        <v>41</v>
      </c>
      <c r="B34" s="1">
        <v>11000</v>
      </c>
      <c r="C34" s="1" t="e">
        <f>#NUM!</f>
        <v>#NUM!</v>
      </c>
      <c r="G34" s="1" t="s">
        <v>81</v>
      </c>
      <c r="H34" s="1">
        <v>12913.75</v>
      </c>
      <c r="I34" s="1">
        <v>225.2914778681164</v>
      </c>
    </row>
    <row r="35" spans="1:9" x14ac:dyDescent="0.25">
      <c r="A35" s="1" t="s">
        <v>42</v>
      </c>
      <c r="B35" s="1">
        <v>17815</v>
      </c>
      <c r="C35" s="1">
        <v>2034.361079061433</v>
      </c>
      <c r="G35" s="1" t="s">
        <v>82</v>
      </c>
      <c r="H35" s="1">
        <v>19166.666666666672</v>
      </c>
      <c r="I35" s="1">
        <v>2809.952550014561</v>
      </c>
    </row>
    <row r="36" spans="1:9" x14ac:dyDescent="0.25">
      <c r="A36" s="1" t="s">
        <v>43</v>
      </c>
      <c r="B36" s="1">
        <v>8182.833333333333</v>
      </c>
      <c r="C36" s="1">
        <v>14131.08085332942</v>
      </c>
      <c r="G36" s="1" t="s">
        <v>83</v>
      </c>
      <c r="H36" s="1">
        <v>10020</v>
      </c>
      <c r="I36" s="1">
        <v>2398.582914972922</v>
      </c>
    </row>
    <row r="37" spans="1:9" x14ac:dyDescent="0.25">
      <c r="A37" s="1" t="s">
        <v>44</v>
      </c>
      <c r="B37" s="1">
        <v>24103</v>
      </c>
      <c r="C37" s="1">
        <v>145.6639969244288</v>
      </c>
      <c r="G37" s="1" t="s">
        <v>84</v>
      </c>
      <c r="H37" s="1">
        <v>26700</v>
      </c>
      <c r="I37" s="1" t="e">
        <f>#NUM!</f>
        <v>#NUM!</v>
      </c>
    </row>
    <row r="38" spans="1:9" x14ac:dyDescent="0.25">
      <c r="A38" s="1" t="s">
        <v>45</v>
      </c>
      <c r="B38" s="1">
        <v>10925</v>
      </c>
      <c r="C38" s="1" t="e">
        <f>#NUM!</f>
        <v>#NUM!</v>
      </c>
      <c r="G38" s="1" t="s">
        <v>85</v>
      </c>
      <c r="H38" s="1">
        <v>19113.5</v>
      </c>
      <c r="I38" s="1">
        <v>301.93459556665579</v>
      </c>
    </row>
    <row r="39" spans="1:9" x14ac:dyDescent="0.25">
      <c r="A39" s="1" t="s">
        <v>46</v>
      </c>
      <c r="B39" s="1">
        <v>10979.277777777779</v>
      </c>
      <c r="C39" s="1">
        <v>4196.9381332638732</v>
      </c>
      <c r="G39" s="1" t="s">
        <v>86</v>
      </c>
      <c r="H39" s="1">
        <v>10966.66666666667</v>
      </c>
      <c r="I39" s="1">
        <v>1115.0485789118491</v>
      </c>
    </row>
    <row r="40" spans="1:9" x14ac:dyDescent="0.25">
      <c r="A40" s="1" t="s">
        <v>47</v>
      </c>
      <c r="B40" s="1">
        <v>3000</v>
      </c>
      <c r="C40" s="1" t="e">
        <f>#NUM!</f>
        <v>#NUM!</v>
      </c>
      <c r="G40" s="1" t="s">
        <v>87</v>
      </c>
      <c r="H40" s="1">
        <v>20601.25</v>
      </c>
      <c r="I40" s="1">
        <v>4978.8224427736604</v>
      </c>
    </row>
    <row r="41" spans="1:9" x14ac:dyDescent="0.25">
      <c r="A41" s="1" t="s">
        <v>48</v>
      </c>
      <c r="B41" s="1">
        <v>23883.333333333328</v>
      </c>
      <c r="C41" s="1">
        <v>1812.6407991289029</v>
      </c>
      <c r="G41" s="1" t="s">
        <v>88</v>
      </c>
      <c r="H41" s="1">
        <v>10358.33333333333</v>
      </c>
      <c r="I41" s="1">
        <v>1405.42105197458</v>
      </c>
    </row>
    <row r="42" spans="1:9" x14ac:dyDescent="0.25">
      <c r="G42" s="1" t="s">
        <v>89</v>
      </c>
      <c r="H42" s="1">
        <v>18766.25</v>
      </c>
      <c r="I42" s="1">
        <v>4783.3309897123854</v>
      </c>
    </row>
    <row r="43" spans="1:9" x14ac:dyDescent="0.25">
      <c r="G43" s="1" t="s">
        <v>90</v>
      </c>
      <c r="H43" s="1">
        <v>14963</v>
      </c>
      <c r="I43" s="1" t="e">
        <f>#NUM!</f>
        <v>#NUM!</v>
      </c>
    </row>
    <row r="44" spans="1:9" x14ac:dyDescent="0.25">
      <c r="G44" s="1" t="s">
        <v>91</v>
      </c>
      <c r="H44" s="1">
        <v>30025</v>
      </c>
      <c r="I44" s="1">
        <v>35.355339059327378</v>
      </c>
    </row>
    <row r="45" spans="1:9" x14ac:dyDescent="0.25">
      <c r="G45" s="1" t="s">
        <v>92</v>
      </c>
      <c r="H45" s="1">
        <v>11000</v>
      </c>
      <c r="I45" s="1" t="e">
        <f>#NUM!</f>
        <v>#NUM!</v>
      </c>
    </row>
    <row r="46" spans="1:9" x14ac:dyDescent="0.25">
      <c r="G46" s="1" t="s">
        <v>93</v>
      </c>
      <c r="H46" s="1">
        <v>12162.5</v>
      </c>
      <c r="I46" s="1">
        <v>2594.6660029118711</v>
      </c>
    </row>
    <row r="47" spans="1:9" x14ac:dyDescent="0.25">
      <c r="G47" s="1" t="s">
        <v>94</v>
      </c>
      <c r="H47" s="1">
        <v>28000</v>
      </c>
      <c r="I47" s="1">
        <v>1000</v>
      </c>
    </row>
    <row r="48" spans="1:9" x14ac:dyDescent="0.25">
      <c r="G48" s="1" t="s">
        <v>95</v>
      </c>
      <c r="H48" s="1">
        <v>19033.333333333328</v>
      </c>
      <c r="I48" s="1">
        <v>7050.0591014071179</v>
      </c>
    </row>
    <row r="49" spans="7:9" x14ac:dyDescent="0.25">
      <c r="G49" s="1" t="s">
        <v>96</v>
      </c>
      <c r="H49" s="1">
        <v>26375</v>
      </c>
      <c r="I49" s="1">
        <v>2214.4882779850818</v>
      </c>
    </row>
    <row r="50" spans="7:9" x14ac:dyDescent="0.25">
      <c r="G50" s="1" t="s">
        <v>97</v>
      </c>
      <c r="H50" s="1">
        <v>14487.5</v>
      </c>
      <c r="I50" s="1">
        <v>2236.58035104189</v>
      </c>
    </row>
    <row r="51" spans="7:9" x14ac:dyDescent="0.25">
      <c r="G51" s="1" t="s">
        <v>98</v>
      </c>
      <c r="H51" s="1">
        <v>25350</v>
      </c>
      <c r="I51" s="1">
        <v>0</v>
      </c>
    </row>
    <row r="52" spans="7:9" x14ac:dyDescent="0.25">
      <c r="G52" s="1" t="s">
        <v>99</v>
      </c>
      <c r="H52" s="1">
        <v>18472.125</v>
      </c>
      <c r="I52" s="1">
        <v>5787.6541330167547</v>
      </c>
    </row>
    <row r="53" spans="7:9" x14ac:dyDescent="0.25">
      <c r="G53" s="1" t="s">
        <v>100</v>
      </c>
      <c r="H53" s="1">
        <v>16094.16666666667</v>
      </c>
      <c r="I53" s="1">
        <v>1134.341686003851</v>
      </c>
    </row>
    <row r="54" spans="7:9" x14ac:dyDescent="0.25">
      <c r="G54" s="1" t="s">
        <v>101</v>
      </c>
      <c r="H54" s="1">
        <v>18305</v>
      </c>
      <c r="I54" s="1">
        <v>1277.00822236977</v>
      </c>
    </row>
    <row r="55" spans="7:9" x14ac:dyDescent="0.25">
      <c r="G55" s="1" t="s">
        <v>102</v>
      </c>
      <c r="H55" s="1">
        <v>7820</v>
      </c>
      <c r="I55" s="1" t="e">
        <f>#NUM!</f>
        <v>#NUM!</v>
      </c>
    </row>
    <row r="56" spans="7:9" x14ac:dyDescent="0.25">
      <c r="G56" s="1" t="s">
        <v>103</v>
      </c>
      <c r="H56" s="1">
        <v>22375</v>
      </c>
      <c r="I56" s="1">
        <v>250</v>
      </c>
    </row>
    <row r="57" spans="7:9" x14ac:dyDescent="0.25">
      <c r="G57" s="1" t="s">
        <v>104</v>
      </c>
      <c r="H57" s="1">
        <v>12679.5</v>
      </c>
      <c r="I57" s="1">
        <v>6976.8024194468917</v>
      </c>
    </row>
    <row r="58" spans="7:9" x14ac:dyDescent="0.25">
      <c r="G58" s="1" t="s">
        <v>105</v>
      </c>
      <c r="H58" s="1">
        <v>43000</v>
      </c>
      <c r="I58" s="1">
        <v>3464.1016151377539</v>
      </c>
    </row>
    <row r="59" spans="7:9" x14ac:dyDescent="0.25">
      <c r="G59" s="1" t="s">
        <v>106</v>
      </c>
      <c r="H59" s="1">
        <v>17480</v>
      </c>
      <c r="I59" s="1" t="e">
        <f>#NUM!</f>
        <v>#NUM!</v>
      </c>
    </row>
    <row r="60" spans="7:9" x14ac:dyDescent="0.25">
      <c r="G60" s="1" t="s">
        <v>107</v>
      </c>
      <c r="H60" s="1">
        <v>32881.25</v>
      </c>
      <c r="I60" s="1">
        <v>5922.4112789591754</v>
      </c>
    </row>
    <row r="61" spans="7:9" x14ac:dyDescent="0.25">
      <c r="G61" s="1" t="s">
        <v>108</v>
      </c>
      <c r="H61" s="1">
        <v>22500</v>
      </c>
      <c r="I61" s="1">
        <v>0</v>
      </c>
    </row>
    <row r="62" spans="7:9" x14ac:dyDescent="0.25">
      <c r="G62" s="1" t="s">
        <v>109</v>
      </c>
      <c r="H62" s="1">
        <v>16437.5</v>
      </c>
      <c r="I62" s="1">
        <v>1608.667927199396</v>
      </c>
    </row>
    <row r="63" spans="7:9" x14ac:dyDescent="0.25">
      <c r="G63" s="1" t="s">
        <v>110</v>
      </c>
      <c r="H63" s="1">
        <v>27000</v>
      </c>
      <c r="I63" s="1" t="e">
        <f>#NUM!</f>
        <v>#NUM!</v>
      </c>
    </row>
    <row r="64" spans="7:9" x14ac:dyDescent="0.25">
      <c r="G64" s="1" t="s">
        <v>111</v>
      </c>
      <c r="H64" s="1">
        <v>22500</v>
      </c>
      <c r="I64" s="1" t="e">
        <f>#NUM!</f>
        <v>#NUM!</v>
      </c>
    </row>
    <row r="65" spans="7:9" x14ac:dyDescent="0.25">
      <c r="G65" s="1" t="s">
        <v>112</v>
      </c>
      <c r="H65" s="1">
        <v>15500</v>
      </c>
      <c r="I65" s="1" t="e">
        <f>#NUM!</f>
        <v>#NUM!</v>
      </c>
    </row>
    <row r="66" spans="7:9" x14ac:dyDescent="0.25">
      <c r="G66" s="1" t="s">
        <v>113</v>
      </c>
      <c r="H66" s="1">
        <v>13353.571428571429</v>
      </c>
      <c r="I66" s="1">
        <v>2935.1472340777532</v>
      </c>
    </row>
    <row r="67" spans="7:9" x14ac:dyDescent="0.25">
      <c r="G67" s="1" t="s">
        <v>114</v>
      </c>
      <c r="H67" s="1">
        <v>17650</v>
      </c>
      <c r="I67" s="1">
        <v>565.68542494923804</v>
      </c>
    </row>
    <row r="68" spans="7:9" x14ac:dyDescent="0.25">
      <c r="G68" s="1" t="s">
        <v>115</v>
      </c>
      <c r="H68" s="1">
        <v>34000</v>
      </c>
      <c r="I68" s="1" t="e">
        <f>#NUM!</f>
        <v>#NUM!</v>
      </c>
    </row>
    <row r="69" spans="7:9" x14ac:dyDescent="0.25">
      <c r="G69" s="1" t="s">
        <v>116</v>
      </c>
      <c r="H69" s="1">
        <v>13370</v>
      </c>
      <c r="I69" s="1">
        <v>61.89110173988076</v>
      </c>
    </row>
    <row r="70" spans="7:9" x14ac:dyDescent="0.25">
      <c r="G70" s="1" t="s">
        <v>117</v>
      </c>
      <c r="H70" s="1">
        <v>9500</v>
      </c>
      <c r="I70" s="1" t="e">
        <f>#NUM!</f>
        <v>#NUM!</v>
      </c>
    </row>
    <row r="71" spans="7:9" x14ac:dyDescent="0.25">
      <c r="G71" s="1" t="s">
        <v>118</v>
      </c>
      <c r="H71" s="1">
        <v>25000</v>
      </c>
      <c r="I71" s="1" t="e">
        <f>#NUM!</f>
        <v>#NUM!</v>
      </c>
    </row>
    <row r="72" spans="7:9" x14ac:dyDescent="0.25">
      <c r="G72" s="1" t="s">
        <v>119</v>
      </c>
      <c r="H72" s="1">
        <v>21050</v>
      </c>
      <c r="I72" s="1" t="e">
        <f>#NUM!</f>
        <v>#NUM!</v>
      </c>
    </row>
    <row r="73" spans="7:9" x14ac:dyDescent="0.25">
      <c r="G73" s="1" t="s">
        <v>120</v>
      </c>
      <c r="H73" s="1">
        <v>35700</v>
      </c>
      <c r="I73" s="1">
        <v>0</v>
      </c>
    </row>
    <row r="74" spans="7:9" x14ac:dyDescent="0.25">
      <c r="G74" s="1" t="s">
        <v>121</v>
      </c>
      <c r="H74" s="1">
        <v>35700</v>
      </c>
      <c r="I74" s="1">
        <v>0</v>
      </c>
    </row>
    <row r="75" spans="7:9" x14ac:dyDescent="0.25">
      <c r="G75" s="1" t="s">
        <v>122</v>
      </c>
      <c r="H75" s="1">
        <v>28879.5</v>
      </c>
      <c r="I75" s="1">
        <v>33.565855667130947</v>
      </c>
    </row>
    <row r="76" spans="7:9" x14ac:dyDescent="0.25">
      <c r="G76" s="1" t="s">
        <v>123</v>
      </c>
      <c r="H76" s="1">
        <v>30348.51</v>
      </c>
      <c r="I76" s="1">
        <v>0</v>
      </c>
    </row>
    <row r="77" spans="7:9" x14ac:dyDescent="0.25">
      <c r="G77" s="1" t="s">
        <v>124</v>
      </c>
      <c r="H77" s="1">
        <v>32125.17666666667</v>
      </c>
      <c r="I77" s="1">
        <v>33.565855667130947</v>
      </c>
    </row>
    <row r="78" spans="7:9" x14ac:dyDescent="0.25">
      <c r="G78" s="1" t="s">
        <v>125</v>
      </c>
      <c r="H78" s="1">
        <v>11050</v>
      </c>
      <c r="I78" s="1" t="e">
        <f>#NUM!</f>
        <v>#NUM!</v>
      </c>
    </row>
    <row r="79" spans="7:9" x14ac:dyDescent="0.25">
      <c r="G79" s="1" t="s">
        <v>126</v>
      </c>
      <c r="H79" s="1">
        <v>38000</v>
      </c>
      <c r="I79" s="1" t="e">
        <f>#NUM!</f>
        <v>#NUM!</v>
      </c>
    </row>
    <row r="80" spans="7:9" x14ac:dyDescent="0.25">
      <c r="G80" s="1" t="s">
        <v>127</v>
      </c>
      <c r="H80" s="1">
        <v>24225</v>
      </c>
      <c r="I80" s="1" t="e">
        <f>#NUM!</f>
        <v>#NUM!</v>
      </c>
    </row>
    <row r="81" spans="7:9" x14ac:dyDescent="0.25">
      <c r="G81" s="1" t="s">
        <v>128</v>
      </c>
      <c r="H81" s="1">
        <v>24985</v>
      </c>
      <c r="I81" s="1">
        <v>586.89862838483441</v>
      </c>
    </row>
    <row r="82" spans="7:9" x14ac:dyDescent="0.25">
      <c r="G82" s="1" t="s">
        <v>129</v>
      </c>
      <c r="H82" s="1">
        <v>17170</v>
      </c>
      <c r="I82" s="1">
        <v>3931.5137033972042</v>
      </c>
    </row>
    <row r="83" spans="7:9" x14ac:dyDescent="0.25">
      <c r="G83" s="1" t="s">
        <v>130</v>
      </c>
      <c r="H83" s="1">
        <v>19550</v>
      </c>
      <c r="I83" s="1">
        <v>412.31056256176612</v>
      </c>
    </row>
    <row r="84" spans="7:9" x14ac:dyDescent="0.25">
      <c r="G84" s="1" t="s">
        <v>131</v>
      </c>
      <c r="H84" s="1">
        <v>11000</v>
      </c>
      <c r="I84" s="1" t="e">
        <f>#NUM!</f>
        <v>#NUM!</v>
      </c>
    </row>
    <row r="85" spans="7:9" x14ac:dyDescent="0.25">
      <c r="G85" s="1" t="s">
        <v>132</v>
      </c>
      <c r="H85" s="1">
        <v>14500</v>
      </c>
      <c r="I85" s="1" t="e">
        <f>#NUM!</f>
        <v>#NUM!</v>
      </c>
    </row>
    <row r="86" spans="7:9" x14ac:dyDescent="0.25">
      <c r="G86" s="1" t="s">
        <v>133</v>
      </c>
      <c r="H86" s="1">
        <v>12550</v>
      </c>
      <c r="I86" s="1">
        <v>107.23805294763611</v>
      </c>
    </row>
    <row r="87" spans="7:9" x14ac:dyDescent="0.25">
      <c r="G87" s="1" t="s">
        <v>134</v>
      </c>
      <c r="H87" s="1">
        <v>14600</v>
      </c>
      <c r="I87" s="1">
        <v>141.42135623730951</v>
      </c>
    </row>
    <row r="88" spans="7:9" x14ac:dyDescent="0.25">
      <c r="G88" s="1" t="s">
        <v>135</v>
      </c>
      <c r="H88" s="1">
        <v>14250</v>
      </c>
      <c r="I88" s="1" t="e">
        <f>#NUM!</f>
        <v>#NUM!</v>
      </c>
    </row>
    <row r="89" spans="7:9" x14ac:dyDescent="0.25">
      <c r="G89" s="1" t="s">
        <v>136</v>
      </c>
      <c r="H89" s="1">
        <v>14</v>
      </c>
      <c r="I89" s="1" t="e">
        <f>#NUM!</f>
        <v>#NUM!</v>
      </c>
    </row>
    <row r="90" spans="7:9" x14ac:dyDescent="0.25">
      <c r="G90" s="1" t="s">
        <v>137</v>
      </c>
      <c r="H90" s="1">
        <v>13</v>
      </c>
      <c r="I90" s="1" t="e">
        <f>#NUM!</f>
        <v>#NUM!</v>
      </c>
    </row>
    <row r="91" spans="7:9" x14ac:dyDescent="0.25">
      <c r="G91" s="1" t="s">
        <v>138</v>
      </c>
      <c r="H91" s="1">
        <v>13.5</v>
      </c>
      <c r="I91" s="1" t="e">
        <f>#NUM!</f>
        <v>#NUM!</v>
      </c>
    </row>
    <row r="92" spans="7:9" x14ac:dyDescent="0.25">
      <c r="G92" s="1" t="s">
        <v>139</v>
      </c>
      <c r="H92" s="1">
        <v>11000</v>
      </c>
      <c r="I92" s="1" t="e">
        <f>#NUM!</f>
        <v>#NUM!</v>
      </c>
    </row>
    <row r="93" spans="7:9" x14ac:dyDescent="0.25">
      <c r="G93" s="1" t="s">
        <v>140</v>
      </c>
      <c r="H93" s="1">
        <v>14.5</v>
      </c>
      <c r="I93" s="1" t="e">
        <f>#NUM!</f>
        <v>#NUM!</v>
      </c>
    </row>
    <row r="94" spans="7:9" x14ac:dyDescent="0.25">
      <c r="G94" s="1" t="s">
        <v>141</v>
      </c>
      <c r="H94" s="1">
        <v>24</v>
      </c>
      <c r="I94" s="1" t="e">
        <f>#NUM!</f>
        <v>#NUM!</v>
      </c>
    </row>
    <row r="95" spans="7:9" x14ac:dyDescent="0.25">
      <c r="G95" s="1" t="s">
        <v>142</v>
      </c>
      <c r="H95" s="1">
        <v>12262.25</v>
      </c>
      <c r="I95" s="1">
        <v>17306.792022931339</v>
      </c>
    </row>
    <row r="96" spans="7:9" x14ac:dyDescent="0.25">
      <c r="G96" s="1" t="s">
        <v>143</v>
      </c>
      <c r="H96" s="1">
        <v>24206</v>
      </c>
      <c r="I96" s="1" t="e">
        <f>#NUM!</f>
        <v>#NUM!</v>
      </c>
    </row>
    <row r="97" spans="7:9" x14ac:dyDescent="0.25">
      <c r="G97" s="1" t="s">
        <v>144</v>
      </c>
      <c r="H97" s="1">
        <v>32830</v>
      </c>
      <c r="I97" s="1" t="e">
        <f>#NUM!</f>
        <v>#NUM!</v>
      </c>
    </row>
    <row r="98" spans="7:9" x14ac:dyDescent="0.25">
      <c r="G98" s="1" t="s">
        <v>145</v>
      </c>
      <c r="H98" s="1">
        <v>29725</v>
      </c>
      <c r="I98" s="1">
        <v>106.0660171779821</v>
      </c>
    </row>
    <row r="99" spans="7:9" x14ac:dyDescent="0.25">
      <c r="G99" s="1" t="s">
        <v>146</v>
      </c>
      <c r="H99" s="1">
        <v>35700</v>
      </c>
      <c r="I99" s="1">
        <v>0</v>
      </c>
    </row>
    <row r="100" spans="7:9" x14ac:dyDescent="0.25">
      <c r="G100" s="1" t="s">
        <v>147</v>
      </c>
      <c r="H100" s="1">
        <v>12106.25</v>
      </c>
      <c r="I100" s="1">
        <v>787.5</v>
      </c>
    </row>
    <row r="101" spans="7:9" x14ac:dyDescent="0.25">
      <c r="G101" s="1" t="s">
        <v>148</v>
      </c>
      <c r="H101" s="1">
        <v>13000</v>
      </c>
      <c r="I101" s="1" t="e">
        <f>#NUM!</f>
        <v>#NUM!</v>
      </c>
    </row>
    <row r="102" spans="7:9" x14ac:dyDescent="0.25">
      <c r="G102" s="1" t="s">
        <v>149</v>
      </c>
      <c r="H102" s="1">
        <v>12500</v>
      </c>
      <c r="I102" s="1" t="e">
        <f>#NUM!</f>
        <v>#NUM!</v>
      </c>
    </row>
    <row r="103" spans="7:9" x14ac:dyDescent="0.25">
      <c r="G103" s="1" t="s">
        <v>150</v>
      </c>
      <c r="H103" s="1">
        <v>17337.5</v>
      </c>
      <c r="I103" s="1">
        <v>2351.130047445271</v>
      </c>
    </row>
    <row r="104" spans="7:9" x14ac:dyDescent="0.25">
      <c r="G104" s="1" t="s">
        <v>151</v>
      </c>
      <c r="H104" s="1">
        <v>12825</v>
      </c>
      <c r="I104" s="1" t="e">
        <f>#NUM!</f>
        <v>#NUM!</v>
      </c>
    </row>
    <row r="105" spans="7:9" x14ac:dyDescent="0.25">
      <c r="G105" s="1" t="s">
        <v>152</v>
      </c>
      <c r="H105" s="1">
        <v>11505</v>
      </c>
      <c r="I105" s="1">
        <v>709.06041115455503</v>
      </c>
    </row>
    <row r="106" spans="7:9" x14ac:dyDescent="0.25">
      <c r="G106" s="1" t="s">
        <v>153</v>
      </c>
      <c r="H106" s="1">
        <v>27600</v>
      </c>
      <c r="I106" s="1" t="e">
        <f>#NUM!</f>
        <v>#NUM!</v>
      </c>
    </row>
    <row r="107" spans="7:9" x14ac:dyDescent="0.25">
      <c r="G107" s="1" t="s">
        <v>154</v>
      </c>
      <c r="H107" s="1">
        <v>26750</v>
      </c>
      <c r="I107" s="1" t="e">
        <f>#NUM!</f>
        <v>#NUM!</v>
      </c>
    </row>
    <row r="108" spans="7:9" x14ac:dyDescent="0.25">
      <c r="G108" s="1" t="s">
        <v>155</v>
      </c>
      <c r="H108" s="1">
        <v>34580</v>
      </c>
      <c r="I108" s="1">
        <v>288.61739379323632</v>
      </c>
    </row>
    <row r="109" spans="7:9" x14ac:dyDescent="0.25">
      <c r="G109" s="1" t="s">
        <v>156</v>
      </c>
      <c r="H109" s="1">
        <v>34510</v>
      </c>
      <c r="I109" s="1">
        <v>0</v>
      </c>
    </row>
    <row r="110" spans="7:9" x14ac:dyDescent="0.25">
      <c r="G110" s="1" t="s">
        <v>157</v>
      </c>
      <c r="H110" s="1">
        <v>27550</v>
      </c>
      <c r="I110" s="1" t="e">
        <f>#NUM!</f>
        <v>#NUM!</v>
      </c>
    </row>
    <row r="111" spans="7:9" x14ac:dyDescent="0.25">
      <c r="G111" s="1" t="s">
        <v>158</v>
      </c>
      <c r="H111" s="1">
        <v>12710</v>
      </c>
      <c r="I111" s="1" t="e">
        <f>#NUM!</f>
        <v>#NUM!</v>
      </c>
    </row>
    <row r="112" spans="7:9" x14ac:dyDescent="0.25">
      <c r="G112" s="1" t="s">
        <v>159</v>
      </c>
      <c r="H112" s="1">
        <v>20500</v>
      </c>
      <c r="I112" s="1" t="e">
        <f>#NUM!</f>
        <v>#NUM!</v>
      </c>
    </row>
    <row r="113" spans="7:9" x14ac:dyDescent="0.25">
      <c r="G113" s="1" t="s">
        <v>160</v>
      </c>
      <c r="H113" s="1">
        <v>16562.5</v>
      </c>
      <c r="I113" s="1">
        <v>88.388347648318444</v>
      </c>
    </row>
    <row r="114" spans="7:9" x14ac:dyDescent="0.25">
      <c r="G114" s="1" t="s">
        <v>161</v>
      </c>
      <c r="H114" s="1">
        <v>29995</v>
      </c>
      <c r="I114" s="1">
        <v>2114.2492757477771</v>
      </c>
    </row>
    <row r="115" spans="7:9" x14ac:dyDescent="0.25">
      <c r="G115" s="1" t="s">
        <v>162</v>
      </c>
      <c r="H115" s="1">
        <v>11350</v>
      </c>
      <c r="I115" s="1" t="e">
        <f>#NUM!</f>
        <v>#NUM!</v>
      </c>
    </row>
    <row r="116" spans="7:9" x14ac:dyDescent="0.25">
      <c r="G116" s="1" t="s">
        <v>163</v>
      </c>
      <c r="H116" s="1">
        <v>23370</v>
      </c>
      <c r="I116" s="1">
        <v>2204.9943310584722</v>
      </c>
    </row>
    <row r="117" spans="7:9" x14ac:dyDescent="0.25">
      <c r="G117" s="1" t="s">
        <v>164</v>
      </c>
      <c r="H117" s="1">
        <v>10979.277777777779</v>
      </c>
      <c r="I117" s="1">
        <v>4196.9381332638732</v>
      </c>
    </row>
    <row r="118" spans="7:9" x14ac:dyDescent="0.25">
      <c r="G118" s="1" t="s">
        <v>165</v>
      </c>
      <c r="H118" s="1">
        <v>30000</v>
      </c>
      <c r="I118" s="1" t="e">
        <f>#NUM!</f>
        <v>#NUM!</v>
      </c>
    </row>
    <row r="119" spans="7:9" x14ac:dyDescent="0.25">
      <c r="G119" s="1" t="s">
        <v>166</v>
      </c>
      <c r="H119" s="1">
        <v>20680</v>
      </c>
      <c r="I119" s="1" t="e">
        <f>#NUM!</f>
        <v>#NUM!</v>
      </c>
    </row>
    <row r="120" spans="7:9" x14ac:dyDescent="0.25">
      <c r="G120" s="1" t="s">
        <v>167</v>
      </c>
      <c r="H120" s="1">
        <v>30200</v>
      </c>
      <c r="I120" s="1" t="e">
        <f>#NUM!</f>
        <v>#NUM!</v>
      </c>
    </row>
    <row r="121" spans="7:9" x14ac:dyDescent="0.25">
      <c r="G121" s="1" t="s">
        <v>168</v>
      </c>
      <c r="H121" s="1">
        <v>16750</v>
      </c>
      <c r="I121" s="1" t="e">
        <f>#NUM!</f>
        <v>#NUM!</v>
      </c>
    </row>
    <row r="122" spans="7:9" x14ac:dyDescent="0.25">
      <c r="G122" s="1" t="s">
        <v>169</v>
      </c>
      <c r="H122" s="1">
        <v>25000</v>
      </c>
      <c r="I122" s="1" t="e">
        <f>#NUM!</f>
        <v>#NUM!</v>
      </c>
    </row>
    <row r="123" spans="7:9" x14ac:dyDescent="0.25">
      <c r="G123" s="1" t="s">
        <v>170</v>
      </c>
      <c r="H123" s="1">
        <v>35300</v>
      </c>
      <c r="I123" s="1" t="e">
        <f>#NUM!</f>
        <v>#NUM!</v>
      </c>
    </row>
    <row r="124" spans="7:9" x14ac:dyDescent="0.25">
      <c r="G124" s="1" t="s">
        <v>171</v>
      </c>
      <c r="H124" s="1">
        <v>24500</v>
      </c>
      <c r="I124" s="1" t="e">
        <f>#NUM!</f>
        <v>#NUM!</v>
      </c>
    </row>
    <row r="125" spans="7:9" x14ac:dyDescent="0.25">
      <c r="G125" s="1" t="s">
        <v>172</v>
      </c>
      <c r="H125" s="1">
        <v>12000</v>
      </c>
      <c r="I125" s="1" t="e">
        <f>#NUM!</f>
        <v>#NUM!</v>
      </c>
    </row>
    <row r="126" spans="7:9" x14ac:dyDescent="0.25">
      <c r="G126" s="1" t="s">
        <v>173</v>
      </c>
      <c r="H126" s="1">
        <v>30350</v>
      </c>
      <c r="I126" s="1" t="e">
        <f>#NUM!</f>
        <v>#NUM!</v>
      </c>
    </row>
    <row r="127" spans="7:9" x14ac:dyDescent="0.25">
      <c r="G127" s="1" t="s">
        <v>174</v>
      </c>
      <c r="H127" s="1">
        <v>30250</v>
      </c>
      <c r="I127" s="1" t="e">
        <f>#NUM!</f>
        <v>#NUM!</v>
      </c>
    </row>
    <row r="128" spans="7:9" x14ac:dyDescent="0.25">
      <c r="G128" s="1" t="s">
        <v>175</v>
      </c>
      <c r="H128" s="1">
        <v>3000</v>
      </c>
      <c r="I128" s="1" t="e">
        <f>#NUM!</f>
        <v>#NUM!</v>
      </c>
    </row>
    <row r="129" spans="7:9" x14ac:dyDescent="0.25">
      <c r="G129" s="1" t="s">
        <v>176</v>
      </c>
      <c r="H129" s="1">
        <v>14000</v>
      </c>
      <c r="I129" s="1" t="e">
        <f>#NUM!</f>
        <v>#NUM!</v>
      </c>
    </row>
    <row r="130" spans="7:9" x14ac:dyDescent="0.25">
      <c r="G130" s="1" t="s">
        <v>177</v>
      </c>
      <c r="H130" s="1">
        <v>15500</v>
      </c>
      <c r="I130" s="1" t="e">
        <f>#NUM!</f>
        <v>#NUM!</v>
      </c>
    </row>
    <row r="131" spans="7:9" x14ac:dyDescent="0.25">
      <c r="G131" s="1" t="s">
        <v>178</v>
      </c>
      <c r="H131" s="1">
        <v>24000</v>
      </c>
      <c r="I131" s="1" t="e">
        <f>#NUM!</f>
        <v>#NUM!</v>
      </c>
    </row>
    <row r="132" spans="7:9" x14ac:dyDescent="0.25">
      <c r="G132" s="1" t="s">
        <v>179</v>
      </c>
      <c r="H132" s="1">
        <v>25760</v>
      </c>
      <c r="I132" s="1" t="e">
        <f>#NUM!</f>
        <v>#NUM!</v>
      </c>
    </row>
    <row r="133" spans="7:9" x14ac:dyDescent="0.25">
      <c r="G133" s="1" t="s">
        <v>180</v>
      </c>
      <c r="H133" s="1">
        <v>25900</v>
      </c>
      <c r="I133" s="1" t="e">
        <f>#NUM!</f>
        <v>#NUM!</v>
      </c>
    </row>
    <row r="134" spans="7:9" x14ac:dyDescent="0.25">
      <c r="G134" s="1" t="s">
        <v>181</v>
      </c>
      <c r="H134" s="1">
        <v>16275</v>
      </c>
      <c r="I134" s="1" t="e">
        <f>#NUM!</f>
        <v>#NUM!</v>
      </c>
    </row>
    <row r="135" spans="7:9" x14ac:dyDescent="0.25">
      <c r="G135" s="1" t="s">
        <v>182</v>
      </c>
      <c r="H135" s="1">
        <v>26600</v>
      </c>
      <c r="I135" s="1" t="e">
        <f>#NUM!</f>
        <v>#NUM!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Vasile Mihai</cp:lastModifiedBy>
  <dcterms:created xsi:type="dcterms:W3CDTF">2025-11-03T21:56:30Z</dcterms:created>
  <dcterms:modified xsi:type="dcterms:W3CDTF">2025-11-03T22:05:54Z</dcterms:modified>
</cp:coreProperties>
</file>